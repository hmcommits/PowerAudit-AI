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Aditya Yadav\Desktop\Electricity_Billing_Project\Excel_Workbook\"/>
    </mc:Choice>
  </mc:AlternateContent>
  <xr:revisionPtr revIDLastSave="0" documentId="13_ncr:1_{AEC2F837-66BC-4404-92B0-93B0946833C3}" xr6:coauthVersionLast="47" xr6:coauthVersionMax="47" xr10:uidLastSave="{00000000-0000-0000-0000-000000000000}"/>
  <bookViews>
    <workbookView xWindow="-108" yWindow="-108" windowWidth="23256" windowHeight="12456" activeTab="3" xr2:uid="{00000000-000D-0000-FFFF-FFFF00000000}"/>
  </bookViews>
  <sheets>
    <sheet name="Providers_Master" sheetId="1" r:id="rId1"/>
    <sheet name="Sites_Master" sheetId="2" r:id="rId2"/>
    <sheet name="Meter_Readings" sheetId="3" r:id="rId3"/>
    <sheet name="Pivot_Report" sheetId="9" r:id="rId4"/>
    <sheet name="Electricity_Bills" sheetId="4" r:id="rId5"/>
    <sheet name="Lists" sheetId="7" r:id="rId6"/>
    <sheet name="Payments" sheetId="5" r:id="rId7"/>
    <sheet name="Billing_Discrepancies" sheetId="6" r:id="rId8"/>
  </sheets>
  <definedNames>
    <definedName name="_xlcn.WorksheetConnection_Electricity_BillsA1J61" hidden="1">Electricity_Bills!$A$1:$J$61</definedName>
    <definedName name="Slicer_Month">#N/A</definedName>
    <definedName name="Slicer_Payment_Status">#N/A</definedName>
    <definedName name="Slicer_Provider_Name">#N/A</definedName>
  </definedNames>
  <calcPr calcId="191029"/>
  <pivotCaches>
    <pivotCache cacheId="0" r:id="rId9"/>
    <pivotCache cacheId="1" r:id="rId10"/>
    <pivotCache cacheId="2" r:id="rId11"/>
  </pivotCaches>
  <extLst>
    <ext xmlns:x14="http://schemas.microsoft.com/office/spreadsheetml/2009/9/main" uri="{876F7934-8845-4945-9796-88D515C7AA90}">
      <x14:pivotCaches>
        <pivotCache cacheId="3"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Electricity_Bills!$A$1:$J$6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4" l="1"/>
  <c r="E2" i="4" s="1"/>
  <c r="H2" i="4"/>
  <c r="I2" i="4"/>
  <c r="G2" i="4" s="1"/>
  <c r="D3" i="4"/>
  <c r="E3" i="4"/>
  <c r="H3" i="4"/>
  <c r="I3" i="4"/>
  <c r="G3" i="4" s="1"/>
  <c r="D4" i="4"/>
  <c r="E4" i="4" s="1"/>
  <c r="H4" i="4"/>
  <c r="I4" i="4"/>
  <c r="G4" i="4" s="1"/>
  <c r="D5" i="4"/>
  <c r="E5" i="4"/>
  <c r="H5" i="4"/>
  <c r="I5" i="4"/>
  <c r="G5" i="4" s="1"/>
  <c r="D6" i="4"/>
  <c r="E6" i="4" s="1"/>
  <c r="H6" i="4"/>
  <c r="I6" i="4"/>
  <c r="G6" i="4" s="1"/>
  <c r="D7" i="4"/>
  <c r="E7" i="4"/>
  <c r="H7" i="4"/>
  <c r="I7" i="4"/>
  <c r="G7" i="4" s="1"/>
  <c r="D8" i="4"/>
  <c r="E8" i="4" s="1"/>
  <c r="H8" i="4"/>
  <c r="I8" i="4"/>
  <c r="G8" i="4" s="1"/>
  <c r="D9" i="4"/>
  <c r="E9" i="4"/>
  <c r="H9" i="4"/>
  <c r="I9" i="4"/>
  <c r="G9" i="4" s="1"/>
  <c r="D10" i="4"/>
  <c r="E10" i="4" s="1"/>
  <c r="H10" i="4"/>
  <c r="I10" i="4"/>
  <c r="G10" i="4" s="1"/>
  <c r="D11" i="4"/>
  <c r="E11" i="4"/>
  <c r="H11" i="4"/>
  <c r="I11" i="4"/>
  <c r="G11" i="4" s="1"/>
  <c r="D12" i="4"/>
  <c r="E12" i="4" s="1"/>
  <c r="H12" i="4"/>
  <c r="I12" i="4"/>
  <c r="G12" i="4" s="1"/>
  <c r="D13" i="4"/>
  <c r="E13" i="4"/>
  <c r="H13" i="4"/>
  <c r="I13" i="4"/>
  <c r="G13" i="4" s="1"/>
  <c r="D14" i="4"/>
  <c r="E14" i="4" s="1"/>
  <c r="H14" i="4"/>
  <c r="I14" i="4"/>
  <c r="G14" i="4" s="1"/>
  <c r="D15" i="4"/>
  <c r="E15" i="4"/>
  <c r="H15" i="4"/>
  <c r="I15" i="4"/>
  <c r="G15" i="4" s="1"/>
  <c r="D16" i="4"/>
  <c r="E16" i="4" s="1"/>
  <c r="H16" i="4"/>
  <c r="I16" i="4"/>
  <c r="G16" i="4" s="1"/>
  <c r="D17" i="4"/>
  <c r="E17" i="4"/>
  <c r="H17" i="4"/>
  <c r="I17" i="4"/>
  <c r="G17" i="4" s="1"/>
  <c r="D18" i="4"/>
  <c r="E18" i="4" s="1"/>
  <c r="H18" i="4"/>
  <c r="I18" i="4"/>
  <c r="G18" i="4" s="1"/>
  <c r="D19" i="4"/>
  <c r="E19" i="4"/>
  <c r="H19" i="4"/>
  <c r="I19" i="4"/>
  <c r="G19" i="4" s="1"/>
  <c r="D20" i="4"/>
  <c r="E20" i="4" s="1"/>
  <c r="H20" i="4"/>
  <c r="I20" i="4"/>
  <c r="G20" i="4" s="1"/>
  <c r="D21" i="4"/>
  <c r="E21" i="4"/>
  <c r="H21" i="4"/>
  <c r="I21" i="4"/>
  <c r="G21" i="4" s="1"/>
  <c r="D22" i="4"/>
  <c r="E22" i="4" s="1"/>
  <c r="H22" i="4"/>
  <c r="I22" i="4"/>
  <c r="G22" i="4" s="1"/>
  <c r="D23" i="4"/>
  <c r="E23" i="4"/>
  <c r="H23" i="4"/>
  <c r="I23" i="4"/>
  <c r="G23" i="4" s="1"/>
  <c r="D24" i="4"/>
  <c r="E24" i="4" s="1"/>
  <c r="H24" i="4"/>
  <c r="I24" i="4"/>
  <c r="G24" i="4" s="1"/>
  <c r="D25" i="4"/>
  <c r="E25" i="4"/>
  <c r="H25" i="4"/>
  <c r="I25" i="4"/>
  <c r="G25" i="4" s="1"/>
  <c r="D26" i="4"/>
  <c r="E26" i="4"/>
  <c r="H26" i="4"/>
  <c r="I26" i="4"/>
  <c r="G26" i="4" s="1"/>
  <c r="D27" i="4"/>
  <c r="E27" i="4"/>
  <c r="J27" i="4" s="1"/>
  <c r="H27" i="4"/>
  <c r="I27" i="4"/>
  <c r="G27" i="4" s="1"/>
  <c r="D28" i="4"/>
  <c r="E28" i="4" s="1"/>
  <c r="H28" i="4"/>
  <c r="I28" i="4"/>
  <c r="G28" i="4" s="1"/>
  <c r="D29" i="4"/>
  <c r="E29" i="4"/>
  <c r="H29" i="4"/>
  <c r="I29" i="4"/>
  <c r="G29" i="4" s="1"/>
  <c r="D30" i="4"/>
  <c r="E30" i="4"/>
  <c r="H30" i="4"/>
  <c r="I30" i="4"/>
  <c r="G30" i="4" s="1"/>
  <c r="D31" i="4"/>
  <c r="E31" i="4"/>
  <c r="H31" i="4"/>
  <c r="I31" i="4"/>
  <c r="G31" i="4" s="1"/>
  <c r="D32" i="4"/>
  <c r="E32" i="4" s="1"/>
  <c r="H32" i="4"/>
  <c r="I32" i="4"/>
  <c r="G32" i="4" s="1"/>
  <c r="D33" i="4"/>
  <c r="E33" i="4"/>
  <c r="H33" i="4"/>
  <c r="I33" i="4"/>
  <c r="G33" i="4" s="1"/>
  <c r="D34" i="4"/>
  <c r="E34" i="4"/>
  <c r="H34" i="4"/>
  <c r="I34" i="4"/>
  <c r="G34" i="4" s="1"/>
  <c r="D35" i="4"/>
  <c r="E35" i="4"/>
  <c r="H35" i="4"/>
  <c r="I35" i="4"/>
  <c r="G35" i="4" s="1"/>
  <c r="D36" i="4"/>
  <c r="E36" i="4" s="1"/>
  <c r="H36" i="4"/>
  <c r="I36" i="4"/>
  <c r="G36" i="4" s="1"/>
  <c r="D37" i="4"/>
  <c r="E37" i="4"/>
  <c r="H37" i="4"/>
  <c r="I37" i="4"/>
  <c r="G37" i="4" s="1"/>
  <c r="D38" i="4"/>
  <c r="E38" i="4"/>
  <c r="H38" i="4"/>
  <c r="I38" i="4"/>
  <c r="G38" i="4" s="1"/>
  <c r="D39" i="4"/>
  <c r="E39" i="4"/>
  <c r="H39" i="4"/>
  <c r="I39" i="4"/>
  <c r="G39" i="4" s="1"/>
  <c r="D40" i="4"/>
  <c r="E40" i="4" s="1"/>
  <c r="H40" i="4"/>
  <c r="I40" i="4"/>
  <c r="G40" i="4" s="1"/>
  <c r="D41" i="4"/>
  <c r="E41" i="4"/>
  <c r="H41" i="4"/>
  <c r="I41" i="4"/>
  <c r="G41" i="4" s="1"/>
  <c r="D42" i="4"/>
  <c r="E42" i="4"/>
  <c r="H42" i="4"/>
  <c r="I42" i="4"/>
  <c r="G42" i="4" s="1"/>
  <c r="D43" i="4"/>
  <c r="E43" i="4"/>
  <c r="H43" i="4"/>
  <c r="I43" i="4"/>
  <c r="G43" i="4" s="1"/>
  <c r="D44" i="4"/>
  <c r="E44" i="4" s="1"/>
  <c r="H44" i="4"/>
  <c r="I44" i="4"/>
  <c r="G44" i="4" s="1"/>
  <c r="D45" i="4"/>
  <c r="E45" i="4"/>
  <c r="H45" i="4"/>
  <c r="I45" i="4"/>
  <c r="G45" i="4" s="1"/>
  <c r="D46" i="4"/>
  <c r="E46" i="4"/>
  <c r="H46" i="4"/>
  <c r="I46" i="4"/>
  <c r="G46" i="4" s="1"/>
  <c r="D47" i="4"/>
  <c r="E47" i="4"/>
  <c r="H47" i="4"/>
  <c r="I47" i="4"/>
  <c r="G47" i="4" s="1"/>
  <c r="D48" i="4"/>
  <c r="E48" i="4" s="1"/>
  <c r="H48" i="4"/>
  <c r="I48" i="4"/>
  <c r="G48" i="4" s="1"/>
  <c r="D49" i="4"/>
  <c r="E49" i="4"/>
  <c r="H49" i="4"/>
  <c r="I49" i="4"/>
  <c r="G49" i="4" s="1"/>
  <c r="D50" i="4"/>
  <c r="E50" i="4"/>
  <c r="H50" i="4"/>
  <c r="I50" i="4"/>
  <c r="G50" i="4" s="1"/>
  <c r="D51" i="4"/>
  <c r="E51" i="4"/>
  <c r="H51" i="4"/>
  <c r="I51" i="4"/>
  <c r="G51" i="4" s="1"/>
  <c r="D52" i="4"/>
  <c r="E52" i="4" s="1"/>
  <c r="H52" i="4"/>
  <c r="I52" i="4"/>
  <c r="G52" i="4" s="1"/>
  <c r="D53" i="4"/>
  <c r="E53" i="4"/>
  <c r="H53" i="4"/>
  <c r="I53" i="4"/>
  <c r="G53" i="4" s="1"/>
  <c r="D54" i="4"/>
  <c r="E54" i="4"/>
  <c r="H54" i="4"/>
  <c r="I54" i="4"/>
  <c r="G54" i="4" s="1"/>
  <c r="D55" i="4"/>
  <c r="E55" i="4"/>
  <c r="H55" i="4"/>
  <c r="I55" i="4"/>
  <c r="G55" i="4" s="1"/>
  <c r="D56" i="4"/>
  <c r="E56" i="4" s="1"/>
  <c r="H56" i="4"/>
  <c r="I56" i="4"/>
  <c r="G56" i="4" s="1"/>
  <c r="D57" i="4"/>
  <c r="E57" i="4"/>
  <c r="H57" i="4"/>
  <c r="I57" i="4"/>
  <c r="G57" i="4" s="1"/>
  <c r="D58" i="4"/>
  <c r="E58" i="4"/>
  <c r="H58" i="4"/>
  <c r="I58" i="4"/>
  <c r="G58" i="4" s="1"/>
  <c r="D59" i="4"/>
  <c r="E59" i="4"/>
  <c r="J59" i="4" s="1"/>
  <c r="H59" i="4"/>
  <c r="I59" i="4"/>
  <c r="G59" i="4" s="1"/>
  <c r="D60" i="4"/>
  <c r="E60" i="4" s="1"/>
  <c r="H60" i="4"/>
  <c r="I60" i="4"/>
  <c r="G60" i="4" s="1"/>
  <c r="D61" i="4"/>
  <c r="E61" i="4"/>
  <c r="H61" i="4"/>
  <c r="I61" i="4"/>
  <c r="G61" i="4" s="1"/>
  <c r="E3" i="2"/>
  <c r="E4" i="2"/>
  <c r="E5" i="2"/>
  <c r="E6" i="2"/>
  <c r="E7" i="2"/>
  <c r="E8" i="2"/>
  <c r="E9" i="2"/>
  <c r="E10" i="2"/>
  <c r="E11" i="2"/>
  <c r="E2"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2" i="3"/>
  <c r="J39" i="4" l="1"/>
  <c r="J22" i="4"/>
  <c r="J15" i="4"/>
  <c r="J6" i="4"/>
  <c r="J55" i="4"/>
  <c r="J23" i="4"/>
  <c r="J14" i="4"/>
  <c r="J7" i="4"/>
  <c r="J51" i="4"/>
  <c r="J31" i="4"/>
  <c r="J18" i="4"/>
  <c r="J11" i="4"/>
  <c r="J2" i="4"/>
  <c r="J35" i="4"/>
  <c r="J43" i="4"/>
  <c r="J47" i="4"/>
  <c r="J19" i="4"/>
  <c r="J10" i="4"/>
  <c r="J3" i="4"/>
  <c r="J61" i="4"/>
  <c r="J57" i="4"/>
  <c r="J53" i="4"/>
  <c r="J49" i="4"/>
  <c r="J45" i="4"/>
  <c r="J41" i="4"/>
  <c r="J37" i="4"/>
  <c r="J33" i="4"/>
  <c r="J29" i="4"/>
  <c r="J25" i="4"/>
  <c r="J21" i="4"/>
  <c r="J17" i="4"/>
  <c r="J13" i="4"/>
  <c r="J9" i="4"/>
  <c r="J5" i="4"/>
  <c r="J60" i="4"/>
  <c r="J58" i="4"/>
  <c r="J54" i="4"/>
  <c r="J52" i="4"/>
  <c r="J50" i="4"/>
  <c r="J48" i="4"/>
  <c r="J46" i="4"/>
  <c r="J44" i="4"/>
  <c r="J42" i="4"/>
  <c r="J40" i="4"/>
  <c r="J38" i="4"/>
  <c r="J36" i="4"/>
  <c r="J34" i="4"/>
  <c r="J32" i="4"/>
  <c r="J30" i="4"/>
  <c r="J28" i="4"/>
  <c r="J26" i="4"/>
  <c r="J24" i="4"/>
  <c r="J20" i="4"/>
  <c r="J16" i="4"/>
  <c r="J12" i="4"/>
  <c r="J8" i="4"/>
  <c r="J4" i="4"/>
  <c r="J5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B69656-BB20-41E5-9042-06A439C6E5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82A7039-52A2-461D-BBAD-7A56C27BC0EE}" name="WorksheetConnection_Electricity_Bills!$A$1:$J$61" type="102" refreshedVersion="8" minRefreshableVersion="5" saveData="1">
    <extLst>
      <ext xmlns:x15="http://schemas.microsoft.com/office/spreadsheetml/2010/11/main" uri="{DE250136-89BD-433C-8126-D09CA5730AF9}">
        <x15:connection id="Range" autoDelete="1">
          <x15:rangePr sourceName="_xlcn.WorksheetConnection_Electricity_BillsA1J61"/>
        </x15:connection>
      </ext>
    </extLst>
  </connection>
</connections>
</file>

<file path=xl/sharedStrings.xml><?xml version="1.0" encoding="utf-8"?>
<sst xmlns="http://schemas.openxmlformats.org/spreadsheetml/2006/main" count="497" uniqueCount="186">
  <si>
    <t>Provider_ID</t>
  </si>
  <si>
    <t>Provider_Name</t>
  </si>
  <si>
    <t>Contact_Email</t>
  </si>
  <si>
    <t>Contact_Number</t>
  </si>
  <si>
    <t>P101</t>
  </si>
  <si>
    <t>Tata Power</t>
  </si>
  <si>
    <t>support@tatapower.com</t>
  </si>
  <si>
    <t>P102</t>
  </si>
  <si>
    <t>Adani Electricity</t>
  </si>
  <si>
    <t>help@adani.com</t>
  </si>
  <si>
    <t>P103</t>
  </si>
  <si>
    <t>BSES Rajdhani</t>
  </si>
  <si>
    <t>billing@bses.com</t>
  </si>
  <si>
    <t>P104</t>
  </si>
  <si>
    <t>Torrent Power</t>
  </si>
  <si>
    <t>support@torrent.com</t>
  </si>
  <si>
    <t>P105</t>
  </si>
  <si>
    <t>CESC Limited</t>
  </si>
  <si>
    <t>care@cesc.com</t>
  </si>
  <si>
    <t>P106</t>
  </si>
  <si>
    <t>Reliance Energy</t>
  </si>
  <si>
    <t>service@reliance.com</t>
  </si>
  <si>
    <t>P107</t>
  </si>
  <si>
    <t>NTPC Utility</t>
  </si>
  <si>
    <t>helpdesk@ntpc.com</t>
  </si>
  <si>
    <t>P108</t>
  </si>
  <si>
    <t>Green Energy Corp</t>
  </si>
  <si>
    <t>billing@greenenergy.com</t>
  </si>
  <si>
    <t>P109</t>
  </si>
  <si>
    <t>State Power Board</t>
  </si>
  <si>
    <t>info@spb.com</t>
  </si>
  <si>
    <t>P110</t>
  </si>
  <si>
    <t>Metro Electric</t>
  </si>
  <si>
    <t>care@metroelectric.com</t>
  </si>
  <si>
    <t>Site_ID</t>
  </si>
  <si>
    <t>Site_Name</t>
  </si>
  <si>
    <t>City</t>
  </si>
  <si>
    <t>S101</t>
  </si>
  <si>
    <t>Gurgaon Office</t>
  </si>
  <si>
    <t>Gurgaon</t>
  </si>
  <si>
    <t>S102</t>
  </si>
  <si>
    <t>Delhi Warehouse</t>
  </si>
  <si>
    <t>Delhi</t>
  </si>
  <si>
    <t>S103</t>
  </si>
  <si>
    <t>Noida Branch</t>
  </si>
  <si>
    <t>Noida</t>
  </si>
  <si>
    <t>S104</t>
  </si>
  <si>
    <t>Mumbai Office</t>
  </si>
  <si>
    <t>Mumbai</t>
  </si>
  <si>
    <t>S105</t>
  </si>
  <si>
    <t>Bangalore Hub</t>
  </si>
  <si>
    <t>Bangalore</t>
  </si>
  <si>
    <t>S106</t>
  </si>
  <si>
    <t>Chennai Center</t>
  </si>
  <si>
    <t>Chennai</t>
  </si>
  <si>
    <t>S107</t>
  </si>
  <si>
    <t>Hyderabad Unit</t>
  </si>
  <si>
    <t>Hyderabad</t>
  </si>
  <si>
    <t>S108</t>
  </si>
  <si>
    <t>Pune Facility</t>
  </si>
  <si>
    <t>Pune</t>
  </si>
  <si>
    <t>S109</t>
  </si>
  <si>
    <t>Kolkata Office</t>
  </si>
  <si>
    <t>Kolkata</t>
  </si>
  <si>
    <t>S110</t>
  </si>
  <si>
    <t>Ahmedabad Plant</t>
  </si>
  <si>
    <t>Ahmedabad</t>
  </si>
  <si>
    <t>Month</t>
  </si>
  <si>
    <t>Previous_Reading</t>
  </si>
  <si>
    <t>Current_Reading</t>
  </si>
  <si>
    <t>Jan</t>
  </si>
  <si>
    <t>Feb</t>
  </si>
  <si>
    <t>Mar</t>
  </si>
  <si>
    <t>Apr</t>
  </si>
  <si>
    <t>May</t>
  </si>
  <si>
    <t>Jun</t>
  </si>
  <si>
    <t>Bill_ID</t>
  </si>
  <si>
    <t>Units_Consumed</t>
  </si>
  <si>
    <t>Bill_Amount</t>
  </si>
  <si>
    <t>Due_Date</t>
  </si>
  <si>
    <t>Payment_Status</t>
  </si>
  <si>
    <t>B1001</t>
  </si>
  <si>
    <t>Paid</t>
  </si>
  <si>
    <t>B1002</t>
  </si>
  <si>
    <t>B1003</t>
  </si>
  <si>
    <t>Pending</t>
  </si>
  <si>
    <t>B1004</t>
  </si>
  <si>
    <t>B1005</t>
  </si>
  <si>
    <t>B1006</t>
  </si>
  <si>
    <t>B1007</t>
  </si>
  <si>
    <t>B1008</t>
  </si>
  <si>
    <t>B1009</t>
  </si>
  <si>
    <t>B1010</t>
  </si>
  <si>
    <t>Lookup_Key</t>
  </si>
  <si>
    <t>Overdue</t>
  </si>
  <si>
    <t>Payment_ID</t>
  </si>
  <si>
    <t>Payment_Date</t>
  </si>
  <si>
    <t>Amount_Paid</t>
  </si>
  <si>
    <t>P001</t>
  </si>
  <si>
    <t>P002</t>
  </si>
  <si>
    <t>P003</t>
  </si>
  <si>
    <t>P004</t>
  </si>
  <si>
    <t>P005</t>
  </si>
  <si>
    <t>P006</t>
  </si>
  <si>
    <t>Outstanding_Amount</t>
  </si>
  <si>
    <t>B1011</t>
  </si>
  <si>
    <t>B1012</t>
  </si>
  <si>
    <t>B1013</t>
  </si>
  <si>
    <t>B1014</t>
  </si>
  <si>
    <t>B1015</t>
  </si>
  <si>
    <t>B1016</t>
  </si>
  <si>
    <t>B1017</t>
  </si>
  <si>
    <t>B1018</t>
  </si>
  <si>
    <t>B1019</t>
  </si>
  <si>
    <t>B1020</t>
  </si>
  <si>
    <t>B1021</t>
  </si>
  <si>
    <t>B1022</t>
  </si>
  <si>
    <t>B1023</t>
  </si>
  <si>
    <t>B1024</t>
  </si>
  <si>
    <t>B1025</t>
  </si>
  <si>
    <t>B1026</t>
  </si>
  <si>
    <t>B1027</t>
  </si>
  <si>
    <t>B1028</t>
  </si>
  <si>
    <t>B1029</t>
  </si>
  <si>
    <t>B1030</t>
  </si>
  <si>
    <t>B1031</t>
  </si>
  <si>
    <t>B1032</t>
  </si>
  <si>
    <t>B1033</t>
  </si>
  <si>
    <t>B1034</t>
  </si>
  <si>
    <t>B1035</t>
  </si>
  <si>
    <t>B1036</t>
  </si>
  <si>
    <t>B1037</t>
  </si>
  <si>
    <t>B1038</t>
  </si>
  <si>
    <t>B1039</t>
  </si>
  <si>
    <t>B1040</t>
  </si>
  <si>
    <t>B1041</t>
  </si>
  <si>
    <t>B1042</t>
  </si>
  <si>
    <t>B1043</t>
  </si>
  <si>
    <t>B1044</t>
  </si>
  <si>
    <t>B1045</t>
  </si>
  <si>
    <t>B1046</t>
  </si>
  <si>
    <t>B1047</t>
  </si>
  <si>
    <t>B1048</t>
  </si>
  <si>
    <t>B1049</t>
  </si>
  <si>
    <t>B1050</t>
  </si>
  <si>
    <t>B1051</t>
  </si>
  <si>
    <t>B1052</t>
  </si>
  <si>
    <t>B1053</t>
  </si>
  <si>
    <t>B1054</t>
  </si>
  <si>
    <t>B1055</t>
  </si>
  <si>
    <t>B1056</t>
  </si>
  <si>
    <t>B1057</t>
  </si>
  <si>
    <t>B1058</t>
  </si>
  <si>
    <t>B1059</t>
  </si>
  <si>
    <t>B1060</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</si>
  <si>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</si>
  <si>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</si>
  <si>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</si>
  <si>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</si>
  <si>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</si>
  <si>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</si>
  <si>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</si>
  <si>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</si>
  <si>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</si>
  <si>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</si>
  <si>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</si>
  <si>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</si>
  <si>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</si>
  <si>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</si>
  <si>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</si>
  <si>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</si>
  <si>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</si>
  <si>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</si>
  <si>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</si>
  <si>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</si>
  <si>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</si>
  <si>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</si>
  <si>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</si>
  <si>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</si>
  <si>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</si>
  <si>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</si>
  <si>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</si>
  <si>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Row Labels</t>
  </si>
  <si>
    <t>Grand Total</t>
  </si>
  <si>
    <t>Sum of Bill_Amount</t>
  </si>
  <si>
    <t>Sum of Units_Consumed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</si>
</sst>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0" fontId="1" fillId="0" borderId="0" xfId="0" applyFont="1" applyAlignment="1">
      <alignment horizontal="center" vertical="center"/>
    </xf>
    <xf numFmtId="16" fontId="0" fillId="0" borderId="0" xfId="0" applyNumberFormat="1"/>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8" fontId="0" fillId="0" borderId="0" xfId="0" applyNumberFormat="1"/>
    <xf numFmtId="8" fontId="1" fillId="0" borderId="0" xfId="0" applyNumberFormat="1" applyFont="1"/>
    <xf numFmtId="0" fontId="0" fillId="0" borderId="0" xfId="0" applyAlignment="1">
      <alignment wrapText="1"/>
    </xf>
    <xf numFmtId="0" fontId="0" fillId="0" borderId="0" xfId="0" pivotButton="1"/>
    <xf numFmtId="0" fontId="0" fillId="0" borderId="0" xfId="0" pivotButton="1" applyAlignment="1">
      <alignment wrapText="1"/>
    </xf>
    <xf numFmtId="8" fontId="0" fillId="0" borderId="0" xfId="0" applyNumberFormat="1" applyAlignment="1">
      <alignment wrapText="1"/>
    </xf>
    <xf numFmtId="0" fontId="1" fillId="0" borderId="1" xfId="0" applyFont="1" applyBorder="1" applyAlignment="1">
      <alignment horizontal="center"/>
    </xf>
    <xf numFmtId="0" fontId="0" fillId="0" borderId="1" xfId="0" applyBorder="1" applyAlignment="1">
      <alignment horizontal="center"/>
    </xf>
    <xf numFmtId="16" fontId="0" fillId="0" borderId="1" xfId="0" applyNumberFormat="1" applyBorder="1" applyAlignment="1">
      <alignment horizontal="center"/>
    </xf>
  </cellXfs>
  <cellStyles count="2">
    <cellStyle name="Hyperlink" xfId="1" builtinId="8"/>
    <cellStyle name="Normal" xfId="0" builtinId="0"/>
  </cellStyles>
  <dxfs count="20">
    <dxf>
      <font>
        <color rgb="FF9C0006"/>
      </font>
    </dxf>
    <dxf>
      <font>
        <color rgb="FF006100"/>
      </font>
      <fill>
        <patternFill>
          <bgColor rgb="FFC6EFCE"/>
        </patternFill>
      </fill>
    </dxf>
    <dxf>
      <fill>
        <patternFill>
          <fgColor theme="9" tint="-0.499984740745262"/>
          <bgColor theme="7"/>
        </patternFill>
      </fill>
    </dxf>
    <dxf>
      <fill>
        <patternFill>
          <bgColor rgb="FF00B050"/>
        </patternFill>
      </fill>
    </dxf>
    <dxf>
      <fill>
        <patternFill>
          <bgColor rgb="FF92D050"/>
        </patternFill>
      </fill>
    </dxf>
    <dxf>
      <fill>
        <patternFill>
          <bgColor rgb="FFC00000"/>
        </patternFill>
      </fill>
    </dxf>
    <dxf>
      <fill>
        <patternFill>
          <bgColor rgb="FFFFC7CE"/>
        </patternFill>
      </fill>
    </dxf>
    <dxf>
      <fill>
        <patternFill>
          <bgColor theme="5"/>
        </patternFill>
      </fill>
    </dxf>
    <dxf>
      <font>
        <color rgb="FF9C0006"/>
      </font>
      <fill>
        <patternFill>
          <bgColor rgb="FFFFC7CE"/>
        </patternFill>
      </fill>
    </dxf>
    <dxf>
      <alignment wrapText="1"/>
    </dxf>
    <dxf>
      <alignment wrapText="1"/>
    </dxf>
    <dxf>
      <numFmt numFmtId="12" formatCode="&quot;₹&quot;\ #,##0.00;[Red]&quot;₹&quot;\ \-#,##0.00"/>
    </dxf>
    <dxf>
      <numFmt numFmtId="12" formatCode="&quot;₹&quot;\ #,##0.00;[Red]&quot;₹&quot;\ \-#,##0.00"/>
    </dxf>
    <dxf>
      <alignment wrapText="1"/>
    </dxf>
    <dxf>
      <alignment wrapText="1"/>
    </dxf>
    <dxf>
      <numFmt numFmtId="12" formatCode="&quot;₹&quot;\ #,##0.00;[Red]&quot;₹&quot;\ \-#,##0.00"/>
    </dxf>
    <dxf>
      <numFmt numFmtId="12" formatCode="&quot;₹&quot;\ #,##0.00;[Red]&quot;₹&quot;\ \-#,##0.00"/>
    </dxf>
    <dxf>
      <alignment wrapText="1"/>
    </dxf>
    <dxf>
      <numFmt numFmtId="12" formatCode="&quot;₹&quot;\ #,##0.00;[Red]&quot;₹&quot;\ \-#,##0.00"/>
    </dxf>
    <dxf>
      <numFmt numFmtId="12"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[Electricity_Billing_System.xlsx]Pivot_Report!PivotTable3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Pivot_Report!$L$1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288-4961-A6D1-82293440E38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288-4961-A6D1-82293440E38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288-4961-A6D1-82293440E38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Pivot_Report!$K$2:$K$5</c:f>
              <c:strCache>
                <c:ptCount val="3"/>
                <c:pt idx="0">
                  <c:v>Overdue</c:v>
                </c:pt>
                <c:pt idx="1">
                  <c:v>Paid</c:v>
                </c:pt>
                <c:pt idx="2">
                  <c:v>Pending</c:v>
                </c:pt>
              </c:strCache>
            </c:strRef>
          </c:cat>
          <c:val>
            <c:numRef>
              <c:f>Pivot_Report!$L$2:$L$5</c:f>
              <c:numCache>
                <c:formatCode>"₹"#,##0.00_);[Red]\("₹"#,##0.00\)</c:formatCode>
                <c:ptCount val="3"/>
                <c:pt idx="0">
                  <c:v>218400</c:v>
                </c:pt>
                <c:pt idx="1">
                  <c:v>142960</c:v>
                </c:pt>
                <c:pt idx="2">
                  <c:v>83360</c:v>
                </c:pt>
              </c:numCache>
            </c:numRef>
          </c:val>
          <c:extLst>
            <c:ext xmlns:c16="http://schemas.microsoft.com/office/drawing/2014/chart" uri="{C3380CC4-5D6E-409C-BE32-E72D297353CC}">
              <c16:uniqueId val="{00000000-CE1D-4F9F-BB62-6AFD815B8C1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[Electricity_Billing_System.xlsx]Pivot_Report!PivotTable5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Pivot_Report!$B$13</c:f>
              <c:strCache>
                <c:ptCount val="1"/>
                <c:pt idx="0">
                  <c:v>Total</c:v>
                </c:pt>
              </c:strCache>
            </c:strRef>
          </c:tx>
          <c:spPr>
            <a:solidFill>
              <a:schemeClr val="accent1"/>
            </a:solidFill>
            <a:ln>
              <a:noFill/>
            </a:ln>
            <a:effectLst/>
          </c:spPr>
          <c:invertIfNegative val="0"/>
          <c:cat>
            <c:strRef>
              <c:f>Pivot_Report!$A$14:$A$24</c:f>
              <c:strCache>
                <c:ptCount val="10"/>
                <c:pt idx="0">
                  <c:v>Torrent Power</c:v>
                </c:pt>
                <c:pt idx="1">
                  <c:v>Green Energy Corp</c:v>
                </c:pt>
                <c:pt idx="2">
                  <c:v>Metro Electric</c:v>
                </c:pt>
                <c:pt idx="3">
                  <c:v>State Power Board</c:v>
                </c:pt>
                <c:pt idx="4">
                  <c:v>Adani Electricity</c:v>
                </c:pt>
                <c:pt idx="5">
                  <c:v>NTPC Utility</c:v>
                </c:pt>
                <c:pt idx="6">
                  <c:v>Reliance Energy</c:v>
                </c:pt>
                <c:pt idx="7">
                  <c:v>CESC Limited</c:v>
                </c:pt>
                <c:pt idx="8">
                  <c:v>Tata Power</c:v>
                </c:pt>
                <c:pt idx="9">
                  <c:v>BSES Rajdhani</c:v>
                </c:pt>
              </c:strCache>
            </c:strRef>
          </c:cat>
          <c:val>
            <c:numRef>
              <c:f>Pivot_Report!$B$14:$B$24</c:f>
              <c:numCache>
                <c:formatCode>"₹"#,##0.00_);[Red]\("₹"#,##0.00\)</c:formatCode>
                <c:ptCount val="10"/>
                <c:pt idx="0">
                  <c:v>6650</c:v>
                </c:pt>
                <c:pt idx="1">
                  <c:v>5950</c:v>
                </c:pt>
                <c:pt idx="2">
                  <c:v>5750</c:v>
                </c:pt>
                <c:pt idx="3">
                  <c:v>5720</c:v>
                </c:pt>
                <c:pt idx="4">
                  <c:v>5650</c:v>
                </c:pt>
                <c:pt idx="5">
                  <c:v>5550</c:v>
                </c:pt>
                <c:pt idx="6">
                  <c:v>5450</c:v>
                </c:pt>
                <c:pt idx="7">
                  <c:v>5320</c:v>
                </c:pt>
                <c:pt idx="8">
                  <c:v>5000</c:v>
                </c:pt>
                <c:pt idx="9">
                  <c:v>4550</c:v>
                </c:pt>
              </c:numCache>
            </c:numRef>
          </c:val>
          <c:extLst>
            <c:ext xmlns:c16="http://schemas.microsoft.com/office/drawing/2014/chart" uri="{C3380CC4-5D6E-409C-BE32-E72D297353CC}">
              <c16:uniqueId val="{00000002-9ADD-490E-AF63-6D3DDE06F3F6}"/>
            </c:ext>
          </c:extLst>
        </c:ser>
        <c:dLbls>
          <c:showLegendKey val="0"/>
          <c:showVal val="0"/>
          <c:showCatName val="0"/>
          <c:showSerName val="0"/>
          <c:showPercent val="0"/>
          <c:showBubbleSize val="0"/>
        </c:dLbls>
        <c:gapWidth val="182"/>
        <c:axId val="1821401776"/>
        <c:axId val="1821404176"/>
      </c:barChart>
      <c:catAx>
        <c:axId val="182140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04176"/>
        <c:crosses val="autoZero"/>
        <c:auto val="1"/>
        <c:lblAlgn val="ctr"/>
        <c:lblOffset val="100"/>
        <c:noMultiLvlLbl val="0"/>
      </c:catAx>
      <c:valAx>
        <c:axId val="18214041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40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304800</xdr:colOff>
      <xdr:row>0</xdr:row>
      <xdr:rowOff>1</xdr:rowOff>
    </xdr:from>
    <xdr:to>
      <xdr:col>7</xdr:col>
      <xdr:colOff>182880</xdr:colOff>
      <xdr:row>5</xdr:row>
      <xdr:rowOff>175261</xdr:rowOff>
    </xdr:to>
    <mc:AlternateContent xmlns:mc="http://schemas.openxmlformats.org/markup-compatibility/2006" xmlns:a14="http://schemas.microsoft.com/office/drawing/2010/main">
      <mc:Choice Requires="a14">
        <xdr:graphicFrame macro="">
          <xdr:nvGraphicFramePr>
            <xdr:cNvPr id="4" name="Payment_Status">
              <a:extLst>
                <a:ext uri="{FF2B5EF4-FFF2-40B4-BE49-F238E27FC236}">
                  <a16:creationId xmlns:a16="http://schemas.microsoft.com/office/drawing/2014/main" id="{F0CEF514-0B76-840D-FF55-EE266F39493D}"/>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3817620" y="1"/>
              <a:ext cx="182880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205740</xdr:colOff>
      <xdr:row>0</xdr:row>
      <xdr:rowOff>1</xdr:rowOff>
    </xdr:from>
    <xdr:to>
      <xdr:col>9</xdr:col>
      <xdr:colOff>312420</xdr:colOff>
      <xdr:row>10</xdr:row>
      <xdr:rowOff>38101</xdr:rowOff>
    </xdr:to>
    <mc:AlternateContent xmlns:mc="http://schemas.openxmlformats.org/markup-compatibility/2006" xmlns:a14="http://schemas.microsoft.com/office/drawing/2010/main">
      <mc:Choice Requires="a14">
        <xdr:graphicFrame macro="">
          <xdr:nvGraphicFramePr>
            <xdr:cNvPr id="5" name="Provider_Name">
              <a:extLst>
                <a:ext uri="{FF2B5EF4-FFF2-40B4-BE49-F238E27FC236}">
                  <a16:creationId xmlns:a16="http://schemas.microsoft.com/office/drawing/2014/main" id="{A9C45231-0395-EB47-750E-C9F9698460AA}"/>
                </a:ext>
              </a:extLst>
            </xdr:cNvPr>
            <xdr:cNvGraphicFramePr/>
          </xdr:nvGraphicFramePr>
          <xdr:xfrm>
            <a:off x="0" y="0"/>
            <a:ext cx="0" cy="0"/>
          </xdr:xfrm>
          <a:graphic>
            <a:graphicData uri="http://schemas.microsoft.com/office/drawing/2010/slicer">
              <sle:slicer xmlns:sle="http://schemas.microsoft.com/office/drawing/2010/slicer" name="Provider_Name"/>
            </a:graphicData>
          </a:graphic>
        </xdr:graphicFrame>
      </mc:Choice>
      <mc:Fallback xmlns="">
        <xdr:sp macro="" textlink="">
          <xdr:nvSpPr>
            <xdr:cNvPr id="0" name=""/>
            <xdr:cNvSpPr>
              <a:spLocks noTextEdit="1"/>
            </xdr:cNvSpPr>
          </xdr:nvSpPr>
          <xdr:spPr>
            <a:xfrm>
              <a:off x="5669280" y="1"/>
              <a:ext cx="1828800" cy="2049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xdr:colOff>
      <xdr:row>0</xdr:row>
      <xdr:rowOff>0</xdr:rowOff>
    </xdr:from>
    <xdr:to>
      <xdr:col>17</xdr:col>
      <xdr:colOff>556260</xdr:colOff>
      <xdr:row>14</xdr:row>
      <xdr:rowOff>45720</xdr:rowOff>
    </xdr:to>
    <xdr:graphicFrame macro="">
      <xdr:nvGraphicFramePr>
        <xdr:cNvPr id="9" name="Chart 8">
          <a:extLst>
            <a:ext uri="{FF2B5EF4-FFF2-40B4-BE49-F238E27FC236}">
              <a16:creationId xmlns:a16="http://schemas.microsoft.com/office/drawing/2014/main" id="{47113E18-1978-229E-1E99-9D2AF1F63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60960</xdr:colOff>
      <xdr:row>0</xdr:row>
      <xdr:rowOff>1</xdr:rowOff>
    </xdr:from>
    <xdr:to>
      <xdr:col>4</xdr:col>
      <xdr:colOff>289560</xdr:colOff>
      <xdr:row>9</xdr:row>
      <xdr:rowOff>60960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8413737F-2F39-E9BC-FB98-B884EEBA67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73580" y="1"/>
              <a:ext cx="1828800" cy="1889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297180</xdr:colOff>
      <xdr:row>10</xdr:row>
      <xdr:rowOff>95250</xdr:rowOff>
    </xdr:from>
    <xdr:to>
      <xdr:col>10</xdr:col>
      <xdr:colOff>449580</xdr:colOff>
      <xdr:row>24</xdr:row>
      <xdr:rowOff>7620</xdr:rowOff>
    </xdr:to>
    <xdr:graphicFrame macro="">
      <xdr:nvGraphicFramePr>
        <xdr:cNvPr id="11" name="Chart 10">
          <a:extLst>
            <a:ext uri="{FF2B5EF4-FFF2-40B4-BE49-F238E27FC236}">
              <a16:creationId xmlns:a16="http://schemas.microsoft.com/office/drawing/2014/main" id="{644B62AB-902B-3D96-9CF6-7A97853FD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Yadav" refreshedDate="46175.382481828703" backgroundQuery="1" createdVersion="8" refreshedVersion="8" minRefreshableVersion="3" recordCount="0" supportSubquery="1" supportAdvancedDrill="1" xr:uid="{6ABF627F-8AC1-4F2C-BD22-8CC3F3EF75C8}">
  <cacheSource type="external" connectionId="1"/>
  <cacheFields count="3">
    <cacheField name="[Range].[Month].[Month]" caption="Month" numFmtId="0" hierarchy="1" level="1">
      <sharedItems count="6">
        <s v="Apr"/>
        <s v="Feb"/>
        <s v="Jan"/>
        <s v="Jun"/>
        <s v="Mar"/>
        <s v="May"/>
      </sharedItems>
    </cacheField>
    <cacheField name="[Measures].[Sum of Bill_Amount]" caption="Sum of Bill_Amount" numFmtId="0" hierarchy="12" level="32767"/>
    <cacheField name="[Range].[Payment_Status].[Payment_Status]" caption="Payment_Status" numFmtId="0" hierarchy="6" level="1">
      <sharedItems containsSemiMixedTypes="0" containsNonDate="0" containsString="0"/>
    </cacheField>
  </cacheFields>
  <cacheHierarchies count="14">
    <cacheHierarchy uniqueName="[Range].[Bill_ID]" caption="Bill_ID" attribute="1" defaultMemberUniqueName="[Range].[Bill_ID].[All]" allUniqueName="[Range].[Bill_ID].[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ite_ID]" caption="Site_ID" attribute="1" defaultMemberUniqueName="[Range].[Site_ID].[All]" allUniqueName="[Range].[Site_ID].[All]" dimensionUniqueName="[Range]" displayFolder="" count="0" memberValueDatatype="130" unbalanced="0"/>
    <cacheHierarchy uniqueName="[Range].[Units_Consumed]" caption="Units_Consumed" attribute="1" defaultMemberUniqueName="[Range].[Units_Consumed].[All]" allUniqueName="[Range].[Units_Consumed].[All]" dimensionUniqueName="[Range]" displayFolder="" count="0" memberValueDatatype="20" unbalanced="0"/>
    <cacheHierarchy uniqueName="[Range].[Bill_Amount]" caption="Bill_Amount" attribute="1" defaultMemberUniqueName="[Range].[Bill_Amount].[All]" allUniqueName="[Range].[Bill_Amount].[All]" dimensionUniqueName="[Range]" displayFolder="" count="0" memberValueDatatype="20" unbalanced="0"/>
    <cacheHierarchy uniqueName="[Range].[Due_Date]" caption="Due_Date" attribute="1" time="1" defaultMemberUniqueName="[Range].[Due_Date].[All]" allUniqueName="[Range].[Due_Date].[All]" dimensionUniqueName="[Range]" displayFolder="" count="0" memberValueDatatype="7" unbalanced="0"/>
    <cacheHierarchy uniqueName="[Range].[Payment_Status]" caption="Payment_Status" attribute="1" defaultMemberUniqueName="[Range].[Payment_Status].[All]" allUniqueName="[Range].[Payment_Status].[All]" dimensionUniqueName="[Range]" displayFolder="" count="2" memberValueDatatype="130" unbalanced="0">
      <fieldsUsage count="2">
        <fieldUsage x="-1"/>
        <fieldUsage x="2"/>
      </fieldsUsage>
    </cacheHierarchy>
    <cacheHierarchy uniqueName="[Range].[Provider_Name]" caption="Provider_Name" attribute="1" defaultMemberUniqueName="[Range].[Provider_Name].[All]" allUniqueName="[Range].[Provider_Name].[All]" dimensionUniqueName="[Range]" displayFolder="" count="2" memberValueDatatype="130" unbalanced="0"/>
    <cacheHierarchy uniqueName="[Range].[Amount_Paid]" caption="Amount_Paid" attribute="1" defaultMemberUniqueName="[Range].[Amount_Paid].[All]" allUniqueName="[Range].[Amount_Paid].[All]" dimensionUniqueName="[Range]" displayFolder="" count="0" memberValueDatatype="20" unbalanced="0"/>
    <cacheHierarchy uniqueName="[Range].[Outstanding_Amount]" caption="Outstanding_Amount" attribute="1" defaultMemberUniqueName="[Range].[Outstanding_Amount].[All]" allUniqueName="[Range].[Outstanding_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Bill_Amount]" caption="Sum of Bill_Amount"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Units_Consumed]" caption="Sum of Units_Consumed"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Yadav" refreshedDate="46175.382482407411" backgroundQuery="1" createdVersion="8" refreshedVersion="8" minRefreshableVersion="3" recordCount="0" supportSubquery="1" supportAdvancedDrill="1" xr:uid="{EB5DFDAE-5B97-453C-A7B9-1B118281FCEF}">
  <cacheSource type="external" connectionId="1"/>
  <cacheFields count="2">
    <cacheField name="[Measures].[Sum of Bill_Amount]" caption="Sum of Bill_Amount" numFmtId="0" hierarchy="12" level="32767"/>
    <cacheField name="[Range].[Payment_Status].[Payment_Status]" caption="Payment_Status" numFmtId="0" hierarchy="6" level="1">
      <sharedItems count="3">
        <s v="Overdue"/>
        <s v="Paid"/>
        <s v="Pending"/>
      </sharedItems>
    </cacheField>
  </cacheFields>
  <cacheHierarchies count="14">
    <cacheHierarchy uniqueName="[Range].[Bill_ID]" caption="Bill_ID" attribute="1" defaultMemberUniqueName="[Range].[Bill_ID].[All]" allUniqueName="[Range].[Bill_ID].[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Site_ID]" caption="Site_ID" attribute="1" defaultMemberUniqueName="[Range].[Site_ID].[All]" allUniqueName="[Range].[Site_ID].[All]" dimensionUniqueName="[Range]" displayFolder="" count="0" memberValueDatatype="130" unbalanced="0"/>
    <cacheHierarchy uniqueName="[Range].[Units_Consumed]" caption="Units_Consumed" attribute="1" defaultMemberUniqueName="[Range].[Units_Consumed].[All]" allUniqueName="[Range].[Units_Consumed].[All]" dimensionUniqueName="[Range]" displayFolder="" count="0" memberValueDatatype="20" unbalanced="0"/>
    <cacheHierarchy uniqueName="[Range].[Bill_Amount]" caption="Bill_Amount" attribute="1" defaultMemberUniqueName="[Range].[Bill_Amount].[All]" allUniqueName="[Range].[Bill_Amount].[All]" dimensionUniqueName="[Range]" displayFolder="" count="0" memberValueDatatype="20" unbalanced="0"/>
    <cacheHierarchy uniqueName="[Range].[Due_Date]" caption="Due_Date" attribute="1" time="1" defaultMemberUniqueName="[Range].[Due_Date].[All]" allUniqueName="[Range].[Due_Date].[All]" dimensionUniqueName="[Range]" displayFolder="" count="0" memberValueDatatype="7" unbalanced="0"/>
    <cacheHierarchy uniqueName="[Range].[Payment_Status]" caption="Payment_Status" attribute="1" defaultMemberUniqueName="[Range].[Payment_Status].[All]" allUniqueName="[Range].[Payment_Status].[All]" dimensionUniqueName="[Range]" displayFolder="" count="2" memberValueDatatype="130" unbalanced="0">
      <fieldsUsage count="2">
        <fieldUsage x="-1"/>
        <fieldUsage x="1"/>
      </fieldsUsage>
    </cacheHierarchy>
    <cacheHierarchy uniqueName="[Range].[Provider_Name]" caption="Provider_Name" attribute="1" defaultMemberUniqueName="[Range].[Provider_Name].[All]" allUniqueName="[Range].[Provider_Name].[All]" dimensionUniqueName="[Range]" displayFolder="" count="2" memberValueDatatype="130" unbalanced="0"/>
    <cacheHierarchy uniqueName="[Range].[Amount_Paid]" caption="Amount_Paid" attribute="1" defaultMemberUniqueName="[Range].[Amount_Paid].[All]" allUniqueName="[Range].[Amount_Paid].[All]" dimensionUniqueName="[Range]" displayFolder="" count="0" memberValueDatatype="20" unbalanced="0"/>
    <cacheHierarchy uniqueName="[Range].[Outstanding_Amount]" caption="Outstanding_Amount" attribute="1" defaultMemberUniqueName="[Range].[Outstanding_Amount].[All]" allUniqueName="[Range].[Outstanding_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Bill_Amount]" caption="Sum of Bill_Amount"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Units_Consumed]" caption="Sum of Units_Consumed"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Yadav" refreshedDate="46175.382482870373" backgroundQuery="1" createdVersion="8" refreshedVersion="8" minRefreshableVersion="3" recordCount="0" supportSubquery="1" supportAdvancedDrill="1" xr:uid="{1A183286-8C58-468B-916B-C85B51278E35}">
  <cacheSource type="external" connectionId="1"/>
  <cacheFields count="3">
    <cacheField name="[Measures].[Sum of Units_Consumed]" caption="Sum of Units_Consumed" numFmtId="0" hierarchy="13" level="32767"/>
    <cacheField name="[Range].[Provider_Name].[Provider_Name]" caption="Provider_Name" numFmtId="0" hierarchy="7" level="1">
      <sharedItems count="10">
        <s v="Adani Electricity"/>
        <s v="BSES Rajdhani"/>
        <s v="CESC Limited"/>
        <s v="Green Energy Corp"/>
        <s v="Metro Electric"/>
        <s v="NTPC Utility"/>
        <s v="Reliance Energy"/>
        <s v="State Power Board"/>
        <s v="Tata Power"/>
        <s v="Torrent Power"/>
      </sharedItems>
    </cacheField>
    <cacheField name="[Range].[Payment_Status].[Payment_Status]" caption="Payment_Status" numFmtId="0" hierarchy="6" level="1">
      <sharedItems containsSemiMixedTypes="0" containsNonDate="0" containsString="0"/>
    </cacheField>
  </cacheFields>
  <cacheHierarchies count="14">
    <cacheHierarchy uniqueName="[Range].[Bill_ID]" caption="Bill_ID" attribute="1" defaultMemberUniqueName="[Range].[Bill_ID].[All]" allUniqueName="[Range].[Bill_ID].[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Site_ID]" caption="Site_ID" attribute="1" defaultMemberUniqueName="[Range].[Site_ID].[All]" allUniqueName="[Range].[Site_ID].[All]" dimensionUniqueName="[Range]" displayFolder="" count="0" memberValueDatatype="130" unbalanced="0"/>
    <cacheHierarchy uniqueName="[Range].[Units_Consumed]" caption="Units_Consumed" attribute="1" defaultMemberUniqueName="[Range].[Units_Consumed].[All]" allUniqueName="[Range].[Units_Consumed].[All]" dimensionUniqueName="[Range]" displayFolder="" count="0" memberValueDatatype="20" unbalanced="0"/>
    <cacheHierarchy uniqueName="[Range].[Bill_Amount]" caption="Bill_Amount" attribute="1" defaultMemberUniqueName="[Range].[Bill_Amount].[All]" allUniqueName="[Range].[Bill_Amount].[All]" dimensionUniqueName="[Range]" displayFolder="" count="0" memberValueDatatype="20" unbalanced="0"/>
    <cacheHierarchy uniqueName="[Range].[Due_Date]" caption="Due_Date" attribute="1" time="1" defaultMemberUniqueName="[Range].[Due_Date].[All]" allUniqueName="[Range].[Due_Date].[All]" dimensionUniqueName="[Range]" displayFolder="" count="0" memberValueDatatype="7" unbalanced="0"/>
    <cacheHierarchy uniqueName="[Range].[Payment_Status]" caption="Payment_Status" attribute="1" defaultMemberUniqueName="[Range].[Payment_Status].[All]" allUniqueName="[Range].[Payment_Status].[All]" dimensionUniqueName="[Range]" displayFolder="" count="2" memberValueDatatype="130" unbalanced="0">
      <fieldsUsage count="2">
        <fieldUsage x="-1"/>
        <fieldUsage x="2"/>
      </fieldsUsage>
    </cacheHierarchy>
    <cacheHierarchy uniqueName="[Range].[Provider_Name]" caption="Provider_Name" attribute="1" defaultMemberUniqueName="[Range].[Provider_Name].[All]" allUniqueName="[Range].[Provider_Name].[All]" dimensionUniqueName="[Range]" displayFolder="" count="2" memberValueDatatype="130" unbalanced="0">
      <fieldsUsage count="2">
        <fieldUsage x="-1"/>
        <fieldUsage x="1"/>
      </fieldsUsage>
    </cacheHierarchy>
    <cacheHierarchy uniqueName="[Range].[Amount_Paid]" caption="Amount_Paid" attribute="1" defaultMemberUniqueName="[Range].[Amount_Paid].[All]" allUniqueName="[Range].[Amount_Paid].[All]" dimensionUniqueName="[Range]" displayFolder="" count="0" memberValueDatatype="20" unbalanced="0"/>
    <cacheHierarchy uniqueName="[Range].[Outstanding_Amount]" caption="Outstanding_Amount" attribute="1" defaultMemberUniqueName="[Range].[Outstanding_Amount].[All]" allUniqueName="[Range].[Outstanding_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Bill_Amount]" caption="Sum of Bill_Amount" measure="1" displayFolder="" measureGroup="Range" count="0" hidden="1">
      <extLst>
        <ext xmlns:x15="http://schemas.microsoft.com/office/spreadsheetml/2010/11/main" uri="{B97F6D7D-B522-45F9-BDA1-12C45D357490}">
          <x15:cacheHierarchy aggregatedColumn="4"/>
        </ext>
      </extLst>
    </cacheHierarchy>
    <cacheHierarchy uniqueName="[Measures].[Sum of Units_Consumed]" caption="Sum of Units_Consumed"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Yadav" refreshedDate="46175.376693287035" backgroundQuery="1" createdVersion="3" refreshedVersion="8" minRefreshableVersion="3" recordCount="0" supportSubquery="1" supportAdvancedDrill="1" xr:uid="{E8A6F3F7-55A1-49FE-A983-949253C65549}">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Bill_ID]" caption="Bill_ID" attribute="1" defaultMemberUniqueName="[Range].[Bill_ID].[All]" allUniqueName="[Range].[Bill_ID].[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Site_ID]" caption="Site_ID" attribute="1" defaultMemberUniqueName="[Range].[Site_ID].[All]" allUniqueName="[Range].[Site_ID].[All]" dimensionUniqueName="[Range]" displayFolder="" count="0" memberValueDatatype="130" unbalanced="0"/>
    <cacheHierarchy uniqueName="[Range].[Units_Consumed]" caption="Units_Consumed" attribute="1" defaultMemberUniqueName="[Range].[Units_Consumed].[All]" allUniqueName="[Range].[Units_Consumed].[All]" dimensionUniqueName="[Range]" displayFolder="" count="0" memberValueDatatype="20" unbalanced="0"/>
    <cacheHierarchy uniqueName="[Range].[Bill_Amount]" caption="Bill_Amount" attribute="1" defaultMemberUniqueName="[Range].[Bill_Amount].[All]" allUniqueName="[Range].[Bill_Amount].[All]" dimensionUniqueName="[Range]" displayFolder="" count="0" memberValueDatatype="20" unbalanced="0"/>
    <cacheHierarchy uniqueName="[Range].[Due_Date]" caption="Due_Date" attribute="1" time="1" defaultMemberUniqueName="[Range].[Due_Date].[All]" allUniqueName="[Range].[Due_Date].[All]" dimensionUniqueName="[Range]" displayFolder="" count="0" memberValueDatatype="7"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rovider_Name]" caption="Provider_Name" attribute="1" defaultMemberUniqueName="[Range].[Provider_Name].[All]" allUniqueName="[Range].[Provider_Name].[All]" dimensionUniqueName="[Range]" displayFolder="" count="2" memberValueDatatype="130" unbalanced="0"/>
    <cacheHierarchy uniqueName="[Range].[Amount_Paid]" caption="Amount_Paid" attribute="1" defaultMemberUniqueName="[Range].[Amount_Paid].[All]" allUniqueName="[Range].[Amount_Paid].[All]" dimensionUniqueName="[Range]" displayFolder="" count="0" memberValueDatatype="20" unbalanced="0"/>
    <cacheHierarchy uniqueName="[Range].[Outstanding_Amount]" caption="Outstanding_Amount" attribute="1" defaultMemberUniqueName="[Range].[Outstanding_Amount].[All]" allUniqueName="[Range].[Outstanding_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Bill_Amount]" caption="Sum of Bill_Amount" measure="1" displayFolder="" measureGroup="Range" count="0" hidden="1">
      <extLst>
        <ext xmlns:x15="http://schemas.microsoft.com/office/spreadsheetml/2010/11/main" uri="{B97F6D7D-B522-45F9-BDA1-12C45D357490}">
          <x15:cacheHierarchy aggregatedColumn="4"/>
        </ext>
      </extLst>
    </cacheHierarchy>
    <cacheHierarchy uniqueName="[Measures].[Sum of Units_Consumed]" caption="Sum of Units_Consumed"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056361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7D136-1940-49F5-982A-C8DB0CD9E5D9}" name="PivotTable3" cacheId="1" applyNumberFormats="0" applyBorderFormats="0" applyFontFormats="0" applyPatternFormats="0" applyAlignmentFormats="0" applyWidthHeightFormats="1" dataCaption="Values" tag="256ceb09-447f-450c-bfb6-9efee05b4fc1" updatedVersion="8" minRefreshableVersion="3" useAutoFormatting="1" itemPrintTitles="1" createdVersion="8" indent="0" outline="1" outlineData="1" multipleFieldFilters="0" chartFormat="7">
  <location ref="K1:L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Bill_Amount" fld="0" baseField="0" baseItem="0" numFmtId="8"/>
  </dataFields>
  <formats count="4">
    <format dxfId="12">
      <pivotArea outline="0" collapsedLevelsAreSubtotals="1" fieldPosition="0"/>
    </format>
    <format dxfId="11">
      <pivotArea dataOnly="0" labelOnly="1" outline="0" axis="axisValues" fieldPosition="0"/>
    </format>
    <format dxfId="10">
      <pivotArea field="1" type="button" dataOnly="0" labelOnly="1" outline="0" axis="axisRow" fieldPosition="0"/>
    </format>
    <format dxfId="9">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ity_Bills!$A$1:$J$6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A84876-62AF-40EF-B9F9-797516788966}" name="PivotTable1" cacheId="0" applyNumberFormats="0" applyBorderFormats="0" applyFontFormats="0" applyPatternFormats="0" applyAlignmentFormats="0" applyWidthHeightFormats="1" dataCaption="Values" tag="86622bfa-2f4d-47f5-9709-86a35ec58cf7" updatedVersion="8" minRefreshableVersion="3" useAutoFormatting="1" itemPrintTitles="1" createdVersion="8" indent="0" outline="1" outlineData="1" multipleFieldFilters="0">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Bill_Amount" fld="1" baseField="0" baseItem="0" numFmtId="8"/>
  </dataFields>
  <formats count="4">
    <format dxfId="16">
      <pivotArea outline="0" collapsedLevelsAreSubtotals="1" fieldPosition="0"/>
    </format>
    <format dxfId="15">
      <pivotArea dataOnly="0" labelOnly="1" outline="0" axis="axisValues" fieldPosition="0"/>
    </format>
    <format dxfId="14">
      <pivotArea field="0" type="button" dataOnly="0" labelOnly="1" outline="0" axis="axisRow" fieldPosition="0"/>
    </format>
    <format dxfId="13">
      <pivotArea dataOnly="0" labelOnly="1" outline="0" axis="axisValues" fieldPosition="0"/>
    </format>
  </formats>
  <pivotHierarchies count="1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ity_Bills!$A$1:$J$6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0D667A-B3C0-4FAE-A70D-EFAF2998309F}" name="PivotTable5" cacheId="2" applyNumberFormats="0" applyBorderFormats="0" applyFontFormats="0" applyPatternFormats="0" applyAlignmentFormats="0" applyWidthHeightFormats="1" dataCaption="Values" tag="45d19ecf-3cb9-4c56-a466-cda997d7e8ab" updatedVersion="8" minRefreshableVersion="3" useAutoFormatting="1" itemPrintTitles="1" createdVersion="8" indent="0" outline="1" outlineData="1" multipleFieldFilters="0" chartFormat="1">
  <location ref="A13:B24"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3"/>
    </i>
    <i>
      <x v="4"/>
    </i>
    <i>
      <x v="7"/>
    </i>
    <i>
      <x/>
    </i>
    <i>
      <x v="5"/>
    </i>
    <i>
      <x v="6"/>
    </i>
    <i>
      <x v="2"/>
    </i>
    <i>
      <x v="8"/>
    </i>
    <i>
      <x v="1"/>
    </i>
    <i t="grand">
      <x/>
    </i>
  </rowItems>
  <colItems count="1">
    <i/>
  </colItems>
  <dataFields count="1">
    <dataField name="Sum of Units_Consumed" fld="0" baseField="0" baseItem="0"/>
  </dataFields>
  <formats count="3">
    <format dxfId="19">
      <pivotArea outline="0" collapsedLevelsAreSubtotals="1" fieldPosition="0"/>
    </format>
    <format dxfId="18">
      <pivotArea dataOnly="0" labelOnly="1" outline="0" axis="axisValues" fieldPosition="0"/>
    </format>
    <format dxfId="17">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ity_Bills!$A$1:$J$6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109651-7658-4BE0-81DA-375F7265D09A}" sourceName="[Range].[Month]">
  <pivotTables>
    <pivotTable tabId="9" name="PivotTable1"/>
    <pivotTable tabId="9" name="PivotTable3"/>
    <pivotTable tabId="9" name="PivotTable5"/>
  </pivotTables>
  <data>
    <olap pivotCacheId="905636145">
      <levels count="2">
        <level uniqueName="[Range].[Month].[(All)]" sourceCaption="(All)" count="0"/>
        <level uniqueName="[Range].[Month].[Month]" sourceCaption="Month" count="6">
          <ranges>
            <range startItem="0">
              <i n="[Range].[Month].&amp;[Apr]" c="Apr"/>
              <i n="[Range].[Month].&amp;[Feb]" c="Feb"/>
              <i n="[Range].[Month].&amp;[Jan]" c="Jan"/>
              <i n="[Range].[Month].&amp;[Jun]" c="Jun"/>
              <i n="[Range].[Month].&amp;[Mar]" c="Mar"/>
              <i n="[Range].[Month].&amp;[May]" c="May"/>
            </range>
          </ranges>
        </level>
      </levels>
      <selections count="1">
        <selection n="[Range].[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B192BC98-528C-4649-BBB6-1B98925D9E68}" sourceName="[Range].[Payment_Status]">
  <pivotTables>
    <pivotTable tabId="9" name="PivotTable1"/>
    <pivotTable tabId="9" name="PivotTable3"/>
    <pivotTable tabId="9" name="PivotTable5"/>
  </pivotTables>
  <data>
    <olap pivotCacheId="905636145">
      <levels count="2">
        <level uniqueName="[Range].[Payment_Status].[(All)]" sourceCaption="(All)" count="0"/>
        <level uniqueName="[Range].[Payment_Status].[Payment_Status]" sourceCaption="Payment_Status" count="3">
          <ranges>
            <range startItem="0">
              <i n="[Range].[Payment_Status].&amp;[Overdue]" c="Overdue"/>
              <i n="[Range].[Payment_Status].&amp;[Paid]" c="Paid"/>
              <i n="[Range].[Payment_Status].&amp;[Pending]" c="Pending"/>
            </range>
          </ranges>
        </level>
      </levels>
      <selections count="1">
        <selection n="[Range].[Payment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Name" xr10:uid="{C50998B9-2822-4033-90BE-C5BFE1FFF87C}" sourceName="[Range].[Provider_Name]">
  <pivotTables>
    <pivotTable tabId="9" name="PivotTable1"/>
    <pivotTable tabId="9" name="PivotTable3"/>
    <pivotTable tabId="9" name="PivotTable5"/>
  </pivotTables>
  <data>
    <olap pivotCacheId="905636145">
      <levels count="2">
        <level uniqueName="[Range].[Provider_Name].[(All)]" sourceCaption="(All)" count="0"/>
        <level uniqueName="[Range].[Provider_Name].[Provider_Name]" sourceCaption="Provider_Name" count="10">
          <ranges>
            <range startItem="0">
              <i n="[Range].[Provider_Name].&amp;[Adani Electricity]" c="Adani Electricity"/>
              <i n="[Range].[Provider_Name].&amp;[BSES Rajdhani]" c="BSES Rajdhani"/>
              <i n="[Range].[Provider_Name].&amp;[CESC Limited]" c="CESC Limited"/>
              <i n="[Range].[Provider_Name].&amp;[Green Energy Corp]" c="Green Energy Corp"/>
              <i n="[Range].[Provider_Name].&amp;[Metro Electric]" c="Metro Electric"/>
              <i n="[Range].[Provider_Name].&amp;[NTPC Utility]" c="NTPC Utility"/>
              <i n="[Range].[Provider_Name].&amp;[Reliance Energy]" c="Reliance Energy"/>
              <i n="[Range].[Provider_Name].&amp;[State Power Board]" c="State Power Board"/>
              <i n="[Range].[Provider_Name].&amp;[Tata Power]" c="Tata Power"/>
              <i n="[Range].[Provider_Name].&amp;[Torrent Power]" c="Torrent Power"/>
            </range>
          </ranges>
        </level>
      </levels>
      <selections count="1">
        <selection n="[Range].[Provide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1660EA8-CF7D-4DAB-8A74-71098083AEC4}" cache="Slicer_Month" caption="Month" level="1" rowHeight="234950"/>
  <slicer name="Payment_Status" xr10:uid="{C6AE6086-F7A1-4C4B-ABF4-0A608AAF0D7F}" cache="Slicer_Payment_Status" caption="Payment_Status" level="1" rowHeight="234950"/>
  <slicer name="Provider_Name" xr10:uid="{BE414D35-A3F3-445C-B08C-D51F13AC28ED}" cache="Slicer_Provider_Name" caption="Provider_Nam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illing@greenenergy.com" TargetMode="External"/><Relationship Id="rId3" Type="http://schemas.openxmlformats.org/officeDocument/2006/relationships/hyperlink" Target="mailto:billing@bses.com" TargetMode="External"/><Relationship Id="rId7" Type="http://schemas.openxmlformats.org/officeDocument/2006/relationships/hyperlink" Target="mailto:helpdesk@ntpc.com" TargetMode="External"/><Relationship Id="rId2" Type="http://schemas.openxmlformats.org/officeDocument/2006/relationships/hyperlink" Target="mailto:help@adani.com" TargetMode="External"/><Relationship Id="rId1" Type="http://schemas.openxmlformats.org/officeDocument/2006/relationships/hyperlink" Target="mailto:support@tatapower.com" TargetMode="External"/><Relationship Id="rId6" Type="http://schemas.openxmlformats.org/officeDocument/2006/relationships/hyperlink" Target="mailto:service@reliance.com" TargetMode="External"/><Relationship Id="rId5" Type="http://schemas.openxmlformats.org/officeDocument/2006/relationships/hyperlink" Target="mailto:care@cesc.com" TargetMode="External"/><Relationship Id="rId10" Type="http://schemas.openxmlformats.org/officeDocument/2006/relationships/hyperlink" Target="mailto:care@metroelectric.com" TargetMode="External"/><Relationship Id="rId4" Type="http://schemas.openxmlformats.org/officeDocument/2006/relationships/hyperlink" Target="mailto:support@torrent.com" TargetMode="External"/><Relationship Id="rId9" Type="http://schemas.openxmlformats.org/officeDocument/2006/relationships/hyperlink" Target="mailto:info@spb.com" TargetMode="Externa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F5" sqref="F5"/>
    </sheetView>
  </sheetViews>
  <sheetFormatPr defaultRowHeight="14.4" x14ac:dyDescent="0.3"/>
  <cols>
    <col min="1" max="1" width="12.109375" customWidth="1"/>
    <col min="2" max="2" width="15.109375" customWidth="1"/>
    <col min="3" max="3" width="25.21875" customWidth="1"/>
    <col min="4" max="4" width="15.77734375" customWidth="1"/>
  </cols>
  <sheetData>
    <row r="1" spans="1:4" ht="28.8" x14ac:dyDescent="0.3">
      <c r="A1" s="1" t="s">
        <v>0</v>
      </c>
      <c r="B1" s="1" t="s">
        <v>1</v>
      </c>
      <c r="C1" s="1" t="s">
        <v>2</v>
      </c>
      <c r="D1" s="1" t="s">
        <v>3</v>
      </c>
    </row>
    <row r="2" spans="1:4" ht="43.2" x14ac:dyDescent="0.3">
      <c r="A2" s="2" t="s">
        <v>4</v>
      </c>
      <c r="B2" s="2" t="s">
        <v>5</v>
      </c>
      <c r="C2" s="3" t="s">
        <v>6</v>
      </c>
      <c r="D2" s="2">
        <v>9811111111</v>
      </c>
    </row>
    <row r="3" spans="1:4" ht="43.2" x14ac:dyDescent="0.3">
      <c r="A3" s="2" t="s">
        <v>7</v>
      </c>
      <c r="B3" s="2" t="s">
        <v>8</v>
      </c>
      <c r="C3" s="3" t="s">
        <v>9</v>
      </c>
      <c r="D3" s="2">
        <v>9822222222</v>
      </c>
    </row>
    <row r="4" spans="1:4" ht="28.8" x14ac:dyDescent="0.3">
      <c r="A4" s="2" t="s">
        <v>10</v>
      </c>
      <c r="B4" s="2" t="s">
        <v>11</v>
      </c>
      <c r="C4" s="3" t="s">
        <v>12</v>
      </c>
      <c r="D4" s="2">
        <v>9833333333</v>
      </c>
    </row>
    <row r="5" spans="1:4" ht="43.2" x14ac:dyDescent="0.3">
      <c r="A5" s="2" t="s">
        <v>13</v>
      </c>
      <c r="B5" s="2" t="s">
        <v>14</v>
      </c>
      <c r="C5" s="3" t="s">
        <v>15</v>
      </c>
      <c r="D5" s="2">
        <v>9844444444</v>
      </c>
    </row>
    <row r="6" spans="1:4" ht="28.8" x14ac:dyDescent="0.3">
      <c r="A6" s="2" t="s">
        <v>16</v>
      </c>
      <c r="B6" s="2" t="s">
        <v>17</v>
      </c>
      <c r="C6" s="3" t="s">
        <v>18</v>
      </c>
      <c r="D6" s="2">
        <v>9855555555</v>
      </c>
    </row>
    <row r="7" spans="1:4" ht="43.2" x14ac:dyDescent="0.3">
      <c r="A7" s="2" t="s">
        <v>19</v>
      </c>
      <c r="B7" s="2" t="s">
        <v>20</v>
      </c>
      <c r="C7" s="3" t="s">
        <v>21</v>
      </c>
      <c r="D7" s="2">
        <v>9866666666</v>
      </c>
    </row>
    <row r="8" spans="1:4" ht="43.2" x14ac:dyDescent="0.3">
      <c r="A8" s="2" t="s">
        <v>22</v>
      </c>
      <c r="B8" s="2" t="s">
        <v>23</v>
      </c>
      <c r="C8" s="3" t="s">
        <v>24</v>
      </c>
      <c r="D8" s="2">
        <v>9877777777</v>
      </c>
    </row>
    <row r="9" spans="1:4" ht="43.2" x14ac:dyDescent="0.3">
      <c r="A9" s="2" t="s">
        <v>25</v>
      </c>
      <c r="B9" s="2" t="s">
        <v>26</v>
      </c>
      <c r="C9" s="3" t="s">
        <v>27</v>
      </c>
      <c r="D9" s="2">
        <v>9888888888</v>
      </c>
    </row>
    <row r="10" spans="1:4" ht="43.2" x14ac:dyDescent="0.3">
      <c r="A10" s="2" t="s">
        <v>28</v>
      </c>
      <c r="B10" s="2" t="s">
        <v>29</v>
      </c>
      <c r="C10" s="3" t="s">
        <v>30</v>
      </c>
      <c r="D10" s="2">
        <v>9899999999</v>
      </c>
    </row>
    <row r="11" spans="1:4" x14ac:dyDescent="0.3">
      <c r="A11" s="2" t="s">
        <v>31</v>
      </c>
      <c r="B11" s="2" t="s">
        <v>32</v>
      </c>
      <c r="C11" s="3" t="s">
        <v>33</v>
      </c>
      <c r="D11" s="2">
        <v>9800000000</v>
      </c>
    </row>
  </sheetData>
  <hyperlinks>
    <hyperlink ref="C2" r:id="rId1" display="mailto:support@tatapower.com" xr:uid="{34CFCCC1-6A17-483E-B9BB-20E5BFEAEA13}"/>
    <hyperlink ref="C3" r:id="rId2" display="mailto:help@adani.com" xr:uid="{15593939-D8A7-4016-8CEE-570BE0EC8F16}"/>
    <hyperlink ref="C4" r:id="rId3" display="mailto:billing@bses.com" xr:uid="{E1AD82B0-E967-4D6E-BABF-A1BE6BE62DD3}"/>
    <hyperlink ref="C5" r:id="rId4" display="mailto:support@torrent.com" xr:uid="{834473DC-8F91-402D-841B-EC530C16CBD6}"/>
    <hyperlink ref="C6" r:id="rId5" display="mailto:care@cesc.com" xr:uid="{DE56002D-B724-4FA8-B28F-AF2A620B3E50}"/>
    <hyperlink ref="C7" r:id="rId6" display="mailto:service@reliance.com" xr:uid="{D2F97F63-F86C-45C2-AFB6-6E84494E4752}"/>
    <hyperlink ref="C8" r:id="rId7" display="mailto:helpdesk@ntpc.com" xr:uid="{027826BD-C5E6-49C6-B387-44C18DBAAB59}"/>
    <hyperlink ref="C9" r:id="rId8" display="mailto:billing@greenenergy.com" xr:uid="{E9B65C4E-879B-438D-8CD5-B6DAFBF35743}"/>
    <hyperlink ref="C10" r:id="rId9" display="mailto:info@spb.com" xr:uid="{04F16C8C-E3A2-4319-801D-C51D41D186A7}"/>
    <hyperlink ref="C11" r:id="rId10" display="mailto:care@metroelectric.com" xr:uid="{129152A6-07C8-4A38-BBAA-A9F40BA685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3A83F-40E8-4F99-AE1B-BC020C76EB96}">
  <dimension ref="A1:E11"/>
  <sheetViews>
    <sheetView workbookViewId="0">
      <selection activeCell="E2" sqref="E2"/>
    </sheetView>
  </sheetViews>
  <sheetFormatPr defaultRowHeight="14.4" x14ac:dyDescent="0.3"/>
  <cols>
    <col min="1" max="1" width="14.109375" customWidth="1"/>
    <col min="2" max="2" width="16.88671875" customWidth="1"/>
    <col min="3" max="3" width="12.88671875" customWidth="1"/>
    <col min="4" max="4" width="13.44140625" customWidth="1"/>
    <col min="5" max="5" width="16.33203125" bestFit="1" customWidth="1"/>
  </cols>
  <sheetData>
    <row r="1" spans="1:5" s="6" customFormat="1" x14ac:dyDescent="0.3">
      <c r="A1" s="4" t="s">
        <v>34</v>
      </c>
      <c r="B1" s="4" t="s">
        <v>35</v>
      </c>
      <c r="C1" s="4" t="s">
        <v>36</v>
      </c>
      <c r="D1" s="4" t="s">
        <v>0</v>
      </c>
      <c r="E1" s="6" t="s">
        <v>1</v>
      </c>
    </row>
    <row r="2" spans="1:5" x14ac:dyDescent="0.3">
      <c r="A2" s="2" t="s">
        <v>37</v>
      </c>
      <c r="B2" s="2" t="s">
        <v>38</v>
      </c>
      <c r="C2" s="2" t="s">
        <v>39</v>
      </c>
      <c r="D2" s="2" t="s">
        <v>4</v>
      </c>
      <c r="E2" t="str">
        <f>INDEX(Providers_Master!$B:$B,MATCH(D2,Providers_Master!$A:$A,0))</f>
        <v>Tata Power</v>
      </c>
    </row>
    <row r="3" spans="1:5" x14ac:dyDescent="0.3">
      <c r="A3" s="2" t="s">
        <v>40</v>
      </c>
      <c r="B3" s="2" t="s">
        <v>41</v>
      </c>
      <c r="C3" s="2" t="s">
        <v>42</v>
      </c>
      <c r="D3" s="2" t="s">
        <v>7</v>
      </c>
      <c r="E3" t="str">
        <f>INDEX(Providers_Master!$B:$B,MATCH(D3,Providers_Master!$A:$A,0))</f>
        <v>Adani Electricity</v>
      </c>
    </row>
    <row r="4" spans="1:5" x14ac:dyDescent="0.3">
      <c r="A4" s="2" t="s">
        <v>43</v>
      </c>
      <c r="B4" s="2" t="s">
        <v>44</v>
      </c>
      <c r="C4" s="2" t="s">
        <v>45</v>
      </c>
      <c r="D4" s="2" t="s">
        <v>10</v>
      </c>
      <c r="E4" t="str">
        <f>INDEX(Providers_Master!$B:$B,MATCH(D4,Providers_Master!$A:$A,0))</f>
        <v>BSES Rajdhani</v>
      </c>
    </row>
    <row r="5" spans="1:5" x14ac:dyDescent="0.3">
      <c r="A5" s="2" t="s">
        <v>46</v>
      </c>
      <c r="B5" s="2" t="s">
        <v>47</v>
      </c>
      <c r="C5" s="2" t="s">
        <v>48</v>
      </c>
      <c r="D5" s="2" t="s">
        <v>13</v>
      </c>
      <c r="E5" t="str">
        <f>INDEX(Providers_Master!$B:$B,MATCH(D5,Providers_Master!$A:$A,0))</f>
        <v>Torrent Power</v>
      </c>
    </row>
    <row r="6" spans="1:5" x14ac:dyDescent="0.3">
      <c r="A6" s="2" t="s">
        <v>49</v>
      </c>
      <c r="B6" s="2" t="s">
        <v>50</v>
      </c>
      <c r="C6" s="2" t="s">
        <v>51</v>
      </c>
      <c r="D6" s="2" t="s">
        <v>16</v>
      </c>
      <c r="E6" t="str">
        <f>INDEX(Providers_Master!$B:$B,MATCH(D6,Providers_Master!$A:$A,0))</f>
        <v>CESC Limited</v>
      </c>
    </row>
    <row r="7" spans="1:5" x14ac:dyDescent="0.3">
      <c r="A7" s="2" t="s">
        <v>52</v>
      </c>
      <c r="B7" s="2" t="s">
        <v>53</v>
      </c>
      <c r="C7" s="2" t="s">
        <v>54</v>
      </c>
      <c r="D7" s="2" t="s">
        <v>19</v>
      </c>
      <c r="E7" t="str">
        <f>INDEX(Providers_Master!$B:$B,MATCH(D7,Providers_Master!$A:$A,0))</f>
        <v>Reliance Energy</v>
      </c>
    </row>
    <row r="8" spans="1:5" x14ac:dyDescent="0.3">
      <c r="A8" s="2" t="s">
        <v>55</v>
      </c>
      <c r="B8" s="2" t="s">
        <v>56</v>
      </c>
      <c r="C8" s="2" t="s">
        <v>57</v>
      </c>
      <c r="D8" s="2" t="s">
        <v>22</v>
      </c>
      <c r="E8" t="str">
        <f>INDEX(Providers_Master!$B:$B,MATCH(D8,Providers_Master!$A:$A,0))</f>
        <v>NTPC Utility</v>
      </c>
    </row>
    <row r="9" spans="1:5" x14ac:dyDescent="0.3">
      <c r="A9" s="2" t="s">
        <v>58</v>
      </c>
      <c r="B9" s="2" t="s">
        <v>59</v>
      </c>
      <c r="C9" s="2" t="s">
        <v>60</v>
      </c>
      <c r="D9" s="2" t="s">
        <v>25</v>
      </c>
      <c r="E9" t="str">
        <f>INDEX(Providers_Master!$B:$B,MATCH(D9,Providers_Master!$A:$A,0))</f>
        <v>Green Energy Corp</v>
      </c>
    </row>
    <row r="10" spans="1:5" x14ac:dyDescent="0.3">
      <c r="A10" s="2" t="s">
        <v>61</v>
      </c>
      <c r="B10" s="2" t="s">
        <v>62</v>
      </c>
      <c r="C10" s="2" t="s">
        <v>63</v>
      </c>
      <c r="D10" s="2" t="s">
        <v>28</v>
      </c>
      <c r="E10" t="str">
        <f>INDEX(Providers_Master!$B:$B,MATCH(D10,Providers_Master!$A:$A,0))</f>
        <v>State Power Board</v>
      </c>
    </row>
    <row r="11" spans="1:5" x14ac:dyDescent="0.3">
      <c r="A11" s="2" t="s">
        <v>64</v>
      </c>
      <c r="B11" s="2" t="s">
        <v>65</v>
      </c>
      <c r="C11" s="2" t="s">
        <v>66</v>
      </c>
      <c r="D11" s="2" t="s">
        <v>31</v>
      </c>
      <c r="E11" t="str">
        <f>INDEX(Providers_Master!$B:$B,MATCH(D11,Providers_Master!$A:$A,0))</f>
        <v>Metro Electric</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966E-A0D1-4AD6-B5DC-F6C39B19C82F}">
  <dimension ref="A1:F61"/>
  <sheetViews>
    <sheetView workbookViewId="0">
      <selection activeCell="I40" sqref="I40"/>
    </sheetView>
  </sheetViews>
  <sheetFormatPr defaultRowHeight="14.4" x14ac:dyDescent="0.3"/>
  <cols>
    <col min="1" max="1" width="6.77734375" style="8" bestFit="1" customWidth="1"/>
    <col min="2" max="2" width="6.88671875" style="8" bestFit="1" customWidth="1"/>
    <col min="3" max="3" width="16.109375" style="8" bestFit="1" customWidth="1"/>
    <col min="4" max="4" width="15.21875" style="8" bestFit="1" customWidth="1"/>
    <col min="5" max="5" width="11.44140625" style="8" bestFit="1" customWidth="1"/>
    <col min="6" max="6" width="15.44140625" style="8" bestFit="1" customWidth="1"/>
    <col min="7" max="7" width="13.5546875" style="8" bestFit="1" customWidth="1"/>
    <col min="8" max="16384" width="8.88671875" style="8"/>
  </cols>
  <sheetData>
    <row r="1" spans="1:6" s="7" customFormat="1" x14ac:dyDescent="0.3">
      <c r="A1" s="7" t="s">
        <v>67</v>
      </c>
      <c r="B1" s="7" t="s">
        <v>34</v>
      </c>
      <c r="C1" s="7" t="s">
        <v>68</v>
      </c>
      <c r="D1" s="7" t="s">
        <v>69</v>
      </c>
      <c r="E1" s="7" t="s">
        <v>93</v>
      </c>
      <c r="F1" s="7" t="s">
        <v>77</v>
      </c>
    </row>
    <row r="2" spans="1:6" x14ac:dyDescent="0.3">
      <c r="A2" s="8" t="s">
        <v>70</v>
      </c>
      <c r="B2" s="8" t="s">
        <v>37</v>
      </c>
      <c r="C2" s="8">
        <v>10000</v>
      </c>
      <c r="D2" s="8">
        <v>10800</v>
      </c>
      <c r="E2" s="8" t="str">
        <f>A2&amp;B2</f>
        <v>JanS101</v>
      </c>
      <c r="F2" s="8">
        <f>D2-C2</f>
        <v>800</v>
      </c>
    </row>
    <row r="3" spans="1:6" x14ac:dyDescent="0.3">
      <c r="A3" s="8" t="s">
        <v>70</v>
      </c>
      <c r="B3" s="8" t="s">
        <v>40</v>
      </c>
      <c r="C3" s="8">
        <v>12000</v>
      </c>
      <c r="D3" s="8">
        <v>12950</v>
      </c>
      <c r="E3" s="8" t="str">
        <f t="shared" ref="E3:E61" si="0">A3&amp;B3</f>
        <v>JanS102</v>
      </c>
      <c r="F3" s="8">
        <f t="shared" ref="F3:F61" si="1">D3-C3</f>
        <v>950</v>
      </c>
    </row>
    <row r="4" spans="1:6" x14ac:dyDescent="0.3">
      <c r="A4" s="8" t="s">
        <v>70</v>
      </c>
      <c r="B4" s="8" t="s">
        <v>43</v>
      </c>
      <c r="C4" s="8">
        <v>8500</v>
      </c>
      <c r="D4" s="8">
        <v>9100</v>
      </c>
      <c r="E4" s="8" t="str">
        <f t="shared" si="0"/>
        <v>JanS103</v>
      </c>
      <c r="F4" s="8">
        <f t="shared" si="1"/>
        <v>600</v>
      </c>
    </row>
    <row r="5" spans="1:6" x14ac:dyDescent="0.3">
      <c r="A5" s="8" t="s">
        <v>70</v>
      </c>
      <c r="B5" s="8" t="s">
        <v>46</v>
      </c>
      <c r="C5" s="8">
        <v>15000</v>
      </c>
      <c r="D5" s="8">
        <v>16050</v>
      </c>
      <c r="E5" s="8" t="str">
        <f t="shared" si="0"/>
        <v>JanS104</v>
      </c>
      <c r="F5" s="8">
        <f t="shared" si="1"/>
        <v>1050</v>
      </c>
    </row>
    <row r="6" spans="1:6" x14ac:dyDescent="0.3">
      <c r="A6" s="8" t="s">
        <v>70</v>
      </c>
      <c r="B6" s="8" t="s">
        <v>49</v>
      </c>
      <c r="C6" s="8">
        <v>9200</v>
      </c>
      <c r="D6" s="8">
        <v>10020</v>
      </c>
      <c r="E6" s="8" t="str">
        <f t="shared" si="0"/>
        <v>JanS105</v>
      </c>
      <c r="F6" s="8">
        <f t="shared" si="1"/>
        <v>820</v>
      </c>
    </row>
    <row r="7" spans="1:6" x14ac:dyDescent="0.3">
      <c r="A7" s="8" t="s">
        <v>70</v>
      </c>
      <c r="B7" s="8" t="s">
        <v>52</v>
      </c>
      <c r="C7" s="8">
        <v>11000</v>
      </c>
      <c r="D7" s="8">
        <v>11800</v>
      </c>
      <c r="E7" s="8" t="str">
        <f t="shared" si="0"/>
        <v>JanS106</v>
      </c>
      <c r="F7" s="8">
        <f t="shared" si="1"/>
        <v>800</v>
      </c>
    </row>
    <row r="8" spans="1:6" x14ac:dyDescent="0.3">
      <c r="A8" s="8" t="s">
        <v>70</v>
      </c>
      <c r="B8" s="8" t="s">
        <v>55</v>
      </c>
      <c r="C8" s="8">
        <v>9800</v>
      </c>
      <c r="D8" s="8">
        <v>10650</v>
      </c>
      <c r="E8" s="8" t="str">
        <f t="shared" si="0"/>
        <v>JanS107</v>
      </c>
      <c r="F8" s="8">
        <f t="shared" si="1"/>
        <v>850</v>
      </c>
    </row>
    <row r="9" spans="1:6" x14ac:dyDescent="0.3">
      <c r="A9" s="8" t="s">
        <v>70</v>
      </c>
      <c r="B9" s="8" t="s">
        <v>58</v>
      </c>
      <c r="C9" s="8">
        <v>14000</v>
      </c>
      <c r="D9" s="8">
        <v>14950</v>
      </c>
      <c r="E9" s="8" t="str">
        <f t="shared" si="0"/>
        <v>JanS108</v>
      </c>
      <c r="F9" s="8">
        <f t="shared" si="1"/>
        <v>950</v>
      </c>
    </row>
    <row r="10" spans="1:6" x14ac:dyDescent="0.3">
      <c r="A10" s="8" t="s">
        <v>70</v>
      </c>
      <c r="B10" s="8" t="s">
        <v>61</v>
      </c>
      <c r="C10" s="8">
        <v>10200</v>
      </c>
      <c r="D10" s="8">
        <v>11100</v>
      </c>
      <c r="E10" s="8" t="str">
        <f t="shared" si="0"/>
        <v>JanS109</v>
      </c>
      <c r="F10" s="8">
        <f t="shared" si="1"/>
        <v>900</v>
      </c>
    </row>
    <row r="11" spans="1:6" x14ac:dyDescent="0.3">
      <c r="A11" s="8" t="s">
        <v>70</v>
      </c>
      <c r="B11" s="8" t="s">
        <v>64</v>
      </c>
      <c r="C11" s="8">
        <v>12500</v>
      </c>
      <c r="D11" s="8">
        <v>13450</v>
      </c>
      <c r="E11" s="8" t="str">
        <f t="shared" si="0"/>
        <v>JanS110</v>
      </c>
      <c r="F11" s="8">
        <f t="shared" si="1"/>
        <v>950</v>
      </c>
    </row>
    <row r="12" spans="1:6" x14ac:dyDescent="0.3">
      <c r="A12" s="8" t="s">
        <v>71</v>
      </c>
      <c r="B12" s="8" t="s">
        <v>37</v>
      </c>
      <c r="C12" s="8">
        <v>10800</v>
      </c>
      <c r="D12" s="8">
        <v>11650</v>
      </c>
      <c r="E12" s="8" t="str">
        <f t="shared" si="0"/>
        <v>FebS101</v>
      </c>
      <c r="F12" s="8">
        <f t="shared" si="1"/>
        <v>850</v>
      </c>
    </row>
    <row r="13" spans="1:6" x14ac:dyDescent="0.3">
      <c r="A13" s="8" t="s">
        <v>71</v>
      </c>
      <c r="B13" s="8" t="s">
        <v>40</v>
      </c>
      <c r="C13" s="8">
        <v>12950</v>
      </c>
      <c r="D13" s="8">
        <v>13850</v>
      </c>
      <c r="E13" s="8" t="str">
        <f t="shared" si="0"/>
        <v>FebS102</v>
      </c>
      <c r="F13" s="8">
        <f t="shared" si="1"/>
        <v>900</v>
      </c>
    </row>
    <row r="14" spans="1:6" x14ac:dyDescent="0.3">
      <c r="A14" s="8" t="s">
        <v>71</v>
      </c>
      <c r="B14" s="8" t="s">
        <v>43</v>
      </c>
      <c r="C14" s="8">
        <v>9100</v>
      </c>
      <c r="D14" s="8">
        <v>9800</v>
      </c>
      <c r="E14" s="8" t="str">
        <f t="shared" si="0"/>
        <v>FebS103</v>
      </c>
      <c r="F14" s="8">
        <f t="shared" si="1"/>
        <v>700</v>
      </c>
    </row>
    <row r="15" spans="1:6" x14ac:dyDescent="0.3">
      <c r="A15" s="8" t="s">
        <v>71</v>
      </c>
      <c r="B15" s="8" t="s">
        <v>46</v>
      </c>
      <c r="C15" s="8">
        <v>16050</v>
      </c>
      <c r="D15" s="8">
        <v>17000</v>
      </c>
      <c r="E15" s="8" t="str">
        <f t="shared" si="0"/>
        <v>FebS104</v>
      </c>
      <c r="F15" s="8">
        <f t="shared" si="1"/>
        <v>950</v>
      </c>
    </row>
    <row r="16" spans="1:6" x14ac:dyDescent="0.3">
      <c r="A16" s="8" t="s">
        <v>71</v>
      </c>
      <c r="B16" s="8" t="s">
        <v>49</v>
      </c>
      <c r="C16" s="8">
        <v>10020</v>
      </c>
      <c r="D16" s="8">
        <v>10850</v>
      </c>
      <c r="E16" s="8" t="str">
        <f t="shared" si="0"/>
        <v>FebS105</v>
      </c>
      <c r="F16" s="8">
        <f t="shared" si="1"/>
        <v>830</v>
      </c>
    </row>
    <row r="17" spans="1:6" x14ac:dyDescent="0.3">
      <c r="A17" s="8" t="s">
        <v>71</v>
      </c>
      <c r="B17" s="8" t="s">
        <v>52</v>
      </c>
      <c r="C17" s="8">
        <v>11800</v>
      </c>
      <c r="D17" s="8">
        <v>12600</v>
      </c>
      <c r="E17" s="8" t="str">
        <f t="shared" si="0"/>
        <v>FebS106</v>
      </c>
      <c r="F17" s="8">
        <f t="shared" si="1"/>
        <v>800</v>
      </c>
    </row>
    <row r="18" spans="1:6" x14ac:dyDescent="0.3">
      <c r="A18" s="8" t="s">
        <v>71</v>
      </c>
      <c r="B18" s="8" t="s">
        <v>55</v>
      </c>
      <c r="C18" s="8">
        <v>10650</v>
      </c>
      <c r="D18" s="8">
        <v>11520</v>
      </c>
      <c r="E18" s="8" t="str">
        <f t="shared" si="0"/>
        <v>FebS107</v>
      </c>
      <c r="F18" s="8">
        <f t="shared" si="1"/>
        <v>870</v>
      </c>
    </row>
    <row r="19" spans="1:6" x14ac:dyDescent="0.3">
      <c r="A19" s="8" t="s">
        <v>71</v>
      </c>
      <c r="B19" s="8" t="s">
        <v>58</v>
      </c>
      <c r="C19" s="8">
        <v>14950</v>
      </c>
      <c r="D19" s="8">
        <v>15900</v>
      </c>
      <c r="E19" s="8" t="str">
        <f t="shared" si="0"/>
        <v>FebS108</v>
      </c>
      <c r="F19" s="8">
        <f t="shared" si="1"/>
        <v>950</v>
      </c>
    </row>
    <row r="20" spans="1:6" x14ac:dyDescent="0.3">
      <c r="A20" s="8" t="s">
        <v>71</v>
      </c>
      <c r="B20" s="8" t="s">
        <v>61</v>
      </c>
      <c r="C20" s="8">
        <v>11100</v>
      </c>
      <c r="D20" s="8">
        <v>12000</v>
      </c>
      <c r="E20" s="8" t="str">
        <f t="shared" si="0"/>
        <v>FebS109</v>
      </c>
      <c r="F20" s="8">
        <f t="shared" si="1"/>
        <v>900</v>
      </c>
    </row>
    <row r="21" spans="1:6" x14ac:dyDescent="0.3">
      <c r="A21" s="8" t="s">
        <v>71</v>
      </c>
      <c r="B21" s="8" t="s">
        <v>64</v>
      </c>
      <c r="C21" s="8">
        <v>13450</v>
      </c>
      <c r="D21" s="8">
        <v>14320</v>
      </c>
      <c r="E21" s="8" t="str">
        <f t="shared" si="0"/>
        <v>FebS110</v>
      </c>
      <c r="F21" s="8">
        <f t="shared" si="1"/>
        <v>870</v>
      </c>
    </row>
    <row r="22" spans="1:6" x14ac:dyDescent="0.3">
      <c r="A22" s="8" t="s">
        <v>72</v>
      </c>
      <c r="B22" s="8" t="s">
        <v>37</v>
      </c>
      <c r="C22" s="8">
        <v>11650</v>
      </c>
      <c r="D22" s="8">
        <v>12450</v>
      </c>
      <c r="E22" s="8" t="str">
        <f t="shared" si="0"/>
        <v>MarS101</v>
      </c>
      <c r="F22" s="8">
        <f t="shared" si="1"/>
        <v>800</v>
      </c>
    </row>
    <row r="23" spans="1:6" x14ac:dyDescent="0.3">
      <c r="A23" s="8" t="s">
        <v>72</v>
      </c>
      <c r="B23" s="8" t="s">
        <v>40</v>
      </c>
      <c r="C23" s="8">
        <v>13850</v>
      </c>
      <c r="D23" s="8">
        <v>14720</v>
      </c>
      <c r="E23" s="8" t="str">
        <f t="shared" si="0"/>
        <v>MarS102</v>
      </c>
      <c r="F23" s="8">
        <f t="shared" si="1"/>
        <v>870</v>
      </c>
    </row>
    <row r="24" spans="1:6" x14ac:dyDescent="0.3">
      <c r="A24" s="8" t="s">
        <v>72</v>
      </c>
      <c r="B24" s="8" t="s">
        <v>43</v>
      </c>
      <c r="C24" s="8">
        <v>9800</v>
      </c>
      <c r="D24" s="8">
        <v>10500</v>
      </c>
      <c r="E24" s="8" t="str">
        <f t="shared" si="0"/>
        <v>MarS103</v>
      </c>
      <c r="F24" s="8">
        <f t="shared" si="1"/>
        <v>700</v>
      </c>
    </row>
    <row r="25" spans="1:6" x14ac:dyDescent="0.3">
      <c r="A25" s="8" t="s">
        <v>72</v>
      </c>
      <c r="B25" s="8" t="s">
        <v>46</v>
      </c>
      <c r="C25" s="8">
        <v>17000</v>
      </c>
      <c r="D25" s="8">
        <v>18050</v>
      </c>
      <c r="E25" s="8" t="str">
        <f t="shared" si="0"/>
        <v>MarS104</v>
      </c>
      <c r="F25" s="8">
        <f t="shared" si="1"/>
        <v>1050</v>
      </c>
    </row>
    <row r="26" spans="1:6" x14ac:dyDescent="0.3">
      <c r="A26" s="8" t="s">
        <v>72</v>
      </c>
      <c r="B26" s="8" t="s">
        <v>49</v>
      </c>
      <c r="C26" s="8">
        <v>10850</v>
      </c>
      <c r="D26" s="8">
        <v>11750</v>
      </c>
      <c r="E26" s="8" t="str">
        <f t="shared" si="0"/>
        <v>MarS105</v>
      </c>
      <c r="F26" s="8">
        <f t="shared" si="1"/>
        <v>900</v>
      </c>
    </row>
    <row r="27" spans="1:6" x14ac:dyDescent="0.3">
      <c r="A27" s="8" t="s">
        <v>72</v>
      </c>
      <c r="B27" s="8" t="s">
        <v>52</v>
      </c>
      <c r="C27" s="8">
        <v>12600</v>
      </c>
      <c r="D27" s="8">
        <v>13500</v>
      </c>
      <c r="E27" s="8" t="str">
        <f t="shared" si="0"/>
        <v>MarS106</v>
      </c>
      <c r="F27" s="8">
        <f t="shared" si="1"/>
        <v>900</v>
      </c>
    </row>
    <row r="28" spans="1:6" x14ac:dyDescent="0.3">
      <c r="A28" s="8" t="s">
        <v>72</v>
      </c>
      <c r="B28" s="8" t="s">
        <v>55</v>
      </c>
      <c r="C28" s="8">
        <v>11520</v>
      </c>
      <c r="D28" s="8">
        <v>12400</v>
      </c>
      <c r="E28" s="8" t="str">
        <f t="shared" si="0"/>
        <v>MarS107</v>
      </c>
      <c r="F28" s="8">
        <f t="shared" si="1"/>
        <v>880</v>
      </c>
    </row>
    <row r="29" spans="1:6" x14ac:dyDescent="0.3">
      <c r="A29" s="8" t="s">
        <v>72</v>
      </c>
      <c r="B29" s="8" t="s">
        <v>58</v>
      </c>
      <c r="C29" s="8">
        <v>15900</v>
      </c>
      <c r="D29" s="8">
        <v>16850</v>
      </c>
      <c r="E29" s="8" t="str">
        <f t="shared" si="0"/>
        <v>MarS108</v>
      </c>
      <c r="F29" s="8">
        <f t="shared" si="1"/>
        <v>950</v>
      </c>
    </row>
    <row r="30" spans="1:6" x14ac:dyDescent="0.3">
      <c r="A30" s="8" t="s">
        <v>72</v>
      </c>
      <c r="B30" s="8" t="s">
        <v>61</v>
      </c>
      <c r="C30" s="8">
        <v>12000</v>
      </c>
      <c r="D30" s="8">
        <v>12950</v>
      </c>
      <c r="E30" s="8" t="str">
        <f t="shared" si="0"/>
        <v>MarS109</v>
      </c>
      <c r="F30" s="8">
        <f t="shared" si="1"/>
        <v>950</v>
      </c>
    </row>
    <row r="31" spans="1:6" x14ac:dyDescent="0.3">
      <c r="A31" s="8" t="s">
        <v>72</v>
      </c>
      <c r="B31" s="8" t="s">
        <v>64</v>
      </c>
      <c r="C31" s="8">
        <v>14320</v>
      </c>
      <c r="D31" s="8">
        <v>15200</v>
      </c>
      <c r="E31" s="8" t="str">
        <f t="shared" si="0"/>
        <v>MarS110</v>
      </c>
      <c r="F31" s="8">
        <f t="shared" si="1"/>
        <v>880</v>
      </c>
    </row>
    <row r="32" spans="1:6" x14ac:dyDescent="0.3">
      <c r="A32" s="8" t="s">
        <v>73</v>
      </c>
      <c r="B32" s="8" t="s">
        <v>37</v>
      </c>
      <c r="C32" s="8">
        <v>12450</v>
      </c>
      <c r="D32" s="8">
        <v>13200</v>
      </c>
      <c r="E32" s="8" t="str">
        <f t="shared" si="0"/>
        <v>AprS101</v>
      </c>
      <c r="F32" s="8">
        <f t="shared" si="1"/>
        <v>750</v>
      </c>
    </row>
    <row r="33" spans="1:6" x14ac:dyDescent="0.3">
      <c r="A33" s="8" t="s">
        <v>73</v>
      </c>
      <c r="B33" s="8" t="s">
        <v>40</v>
      </c>
      <c r="C33" s="8">
        <v>14720</v>
      </c>
      <c r="D33" s="8">
        <v>15650</v>
      </c>
      <c r="E33" s="8" t="str">
        <f t="shared" si="0"/>
        <v>AprS102</v>
      </c>
      <c r="F33" s="8">
        <f t="shared" si="1"/>
        <v>930</v>
      </c>
    </row>
    <row r="34" spans="1:6" x14ac:dyDescent="0.3">
      <c r="A34" s="8" t="s">
        <v>73</v>
      </c>
      <c r="B34" s="8" t="s">
        <v>43</v>
      </c>
      <c r="C34" s="8">
        <v>10500</v>
      </c>
      <c r="D34" s="8">
        <v>11250</v>
      </c>
      <c r="E34" s="8" t="str">
        <f t="shared" si="0"/>
        <v>AprS103</v>
      </c>
      <c r="F34" s="8">
        <f t="shared" si="1"/>
        <v>750</v>
      </c>
    </row>
    <row r="35" spans="1:6" x14ac:dyDescent="0.3">
      <c r="A35" s="8" t="s">
        <v>73</v>
      </c>
      <c r="B35" s="8" t="s">
        <v>46</v>
      </c>
      <c r="C35" s="8">
        <v>18050</v>
      </c>
      <c r="D35" s="8">
        <v>19150</v>
      </c>
      <c r="E35" s="8" t="str">
        <f t="shared" si="0"/>
        <v>AprS104</v>
      </c>
      <c r="F35" s="8">
        <f t="shared" si="1"/>
        <v>1100</v>
      </c>
    </row>
    <row r="36" spans="1:6" x14ac:dyDescent="0.3">
      <c r="A36" s="8" t="s">
        <v>73</v>
      </c>
      <c r="B36" s="8" t="s">
        <v>49</v>
      </c>
      <c r="C36" s="8">
        <v>11750</v>
      </c>
      <c r="D36" s="8">
        <v>12680</v>
      </c>
      <c r="E36" s="8" t="str">
        <f t="shared" si="0"/>
        <v>AprS105</v>
      </c>
      <c r="F36" s="8">
        <f t="shared" si="1"/>
        <v>930</v>
      </c>
    </row>
    <row r="37" spans="1:6" x14ac:dyDescent="0.3">
      <c r="A37" s="8" t="s">
        <v>73</v>
      </c>
      <c r="B37" s="8" t="s">
        <v>52</v>
      </c>
      <c r="C37" s="8">
        <v>13500</v>
      </c>
      <c r="D37" s="8">
        <v>14420</v>
      </c>
      <c r="E37" s="8" t="str">
        <f t="shared" si="0"/>
        <v>AprS106</v>
      </c>
      <c r="F37" s="8">
        <f t="shared" si="1"/>
        <v>920</v>
      </c>
    </row>
    <row r="38" spans="1:6" x14ac:dyDescent="0.3">
      <c r="A38" s="8" t="s">
        <v>73</v>
      </c>
      <c r="B38" s="8" t="s">
        <v>55</v>
      </c>
      <c r="C38" s="8">
        <v>12400</v>
      </c>
      <c r="D38" s="8">
        <v>13350</v>
      </c>
      <c r="E38" s="8" t="str">
        <f t="shared" si="0"/>
        <v>AprS107</v>
      </c>
      <c r="F38" s="8">
        <f t="shared" si="1"/>
        <v>950</v>
      </c>
    </row>
    <row r="39" spans="1:6" x14ac:dyDescent="0.3">
      <c r="A39" s="8" t="s">
        <v>73</v>
      </c>
      <c r="B39" s="8" t="s">
        <v>58</v>
      </c>
      <c r="C39" s="8">
        <v>16850</v>
      </c>
      <c r="D39" s="8">
        <v>17820</v>
      </c>
      <c r="E39" s="8" t="str">
        <f t="shared" si="0"/>
        <v>AprS108</v>
      </c>
      <c r="F39" s="8">
        <f t="shared" si="1"/>
        <v>970</v>
      </c>
    </row>
    <row r="40" spans="1:6" x14ac:dyDescent="0.3">
      <c r="A40" s="8" t="s">
        <v>73</v>
      </c>
      <c r="B40" s="8" t="s">
        <v>61</v>
      </c>
      <c r="C40" s="8">
        <v>12950</v>
      </c>
      <c r="D40" s="8">
        <v>13850</v>
      </c>
      <c r="E40" s="8" t="str">
        <f t="shared" si="0"/>
        <v>AprS109</v>
      </c>
      <c r="F40" s="8">
        <f t="shared" si="1"/>
        <v>900</v>
      </c>
    </row>
    <row r="41" spans="1:6" x14ac:dyDescent="0.3">
      <c r="A41" s="8" t="s">
        <v>73</v>
      </c>
      <c r="B41" s="8" t="s">
        <v>64</v>
      </c>
      <c r="C41" s="8">
        <v>15200</v>
      </c>
      <c r="D41" s="8">
        <v>16120</v>
      </c>
      <c r="E41" s="8" t="str">
        <f t="shared" si="0"/>
        <v>AprS110</v>
      </c>
      <c r="F41" s="8">
        <f t="shared" si="1"/>
        <v>920</v>
      </c>
    </row>
    <row r="42" spans="1:6" x14ac:dyDescent="0.3">
      <c r="A42" s="8" t="s">
        <v>74</v>
      </c>
      <c r="B42" s="8" t="s">
        <v>37</v>
      </c>
      <c r="C42" s="8">
        <v>13200</v>
      </c>
      <c r="D42" s="8">
        <v>14100</v>
      </c>
      <c r="E42" s="8" t="str">
        <f t="shared" si="0"/>
        <v>MayS101</v>
      </c>
      <c r="F42" s="8">
        <f t="shared" si="1"/>
        <v>900</v>
      </c>
    </row>
    <row r="43" spans="1:6" x14ac:dyDescent="0.3">
      <c r="A43" s="8" t="s">
        <v>74</v>
      </c>
      <c r="B43" s="8" t="s">
        <v>40</v>
      </c>
      <c r="C43" s="8">
        <v>15650</v>
      </c>
      <c r="D43" s="8">
        <v>16600</v>
      </c>
      <c r="E43" s="8" t="str">
        <f t="shared" si="0"/>
        <v>MayS102</v>
      </c>
      <c r="F43" s="8">
        <f t="shared" si="1"/>
        <v>950</v>
      </c>
    </row>
    <row r="44" spans="1:6" x14ac:dyDescent="0.3">
      <c r="A44" s="8" t="s">
        <v>74</v>
      </c>
      <c r="B44" s="8" t="s">
        <v>43</v>
      </c>
      <c r="C44" s="8">
        <v>11250</v>
      </c>
      <c r="D44" s="8">
        <v>12100</v>
      </c>
      <c r="E44" s="8" t="str">
        <f t="shared" si="0"/>
        <v>MayS103</v>
      </c>
      <c r="F44" s="8">
        <f t="shared" si="1"/>
        <v>850</v>
      </c>
    </row>
    <row r="45" spans="1:6" x14ac:dyDescent="0.3">
      <c r="A45" s="8" t="s">
        <v>74</v>
      </c>
      <c r="B45" s="8" t="s">
        <v>46</v>
      </c>
      <c r="C45" s="8">
        <v>19150</v>
      </c>
      <c r="D45" s="8">
        <v>20400</v>
      </c>
      <c r="E45" s="8" t="str">
        <f t="shared" si="0"/>
        <v>MayS104</v>
      </c>
      <c r="F45" s="8">
        <f t="shared" si="1"/>
        <v>1250</v>
      </c>
    </row>
    <row r="46" spans="1:6" x14ac:dyDescent="0.3">
      <c r="A46" s="8" t="s">
        <v>74</v>
      </c>
      <c r="B46" s="8" t="s">
        <v>49</v>
      </c>
      <c r="C46" s="8">
        <v>12680</v>
      </c>
      <c r="D46" s="8">
        <v>13600</v>
      </c>
      <c r="E46" s="8" t="str">
        <f t="shared" si="0"/>
        <v>MayS105</v>
      </c>
      <c r="F46" s="8">
        <f t="shared" si="1"/>
        <v>920</v>
      </c>
    </row>
    <row r="47" spans="1:6" x14ac:dyDescent="0.3">
      <c r="A47" s="8" t="s">
        <v>74</v>
      </c>
      <c r="B47" s="8" t="s">
        <v>52</v>
      </c>
      <c r="C47" s="8">
        <v>14420</v>
      </c>
      <c r="D47" s="8">
        <v>15400</v>
      </c>
      <c r="E47" s="8" t="str">
        <f t="shared" si="0"/>
        <v>MayS106</v>
      </c>
      <c r="F47" s="8">
        <f t="shared" si="1"/>
        <v>980</v>
      </c>
    </row>
    <row r="48" spans="1:6" x14ac:dyDescent="0.3">
      <c r="A48" s="8" t="s">
        <v>74</v>
      </c>
      <c r="B48" s="8" t="s">
        <v>55</v>
      </c>
      <c r="C48" s="8">
        <v>13350</v>
      </c>
      <c r="D48" s="8">
        <v>14320</v>
      </c>
      <c r="E48" s="8" t="str">
        <f t="shared" si="0"/>
        <v>MayS107</v>
      </c>
      <c r="F48" s="8">
        <f t="shared" si="1"/>
        <v>970</v>
      </c>
    </row>
    <row r="49" spans="1:6" x14ac:dyDescent="0.3">
      <c r="A49" s="8" t="s">
        <v>74</v>
      </c>
      <c r="B49" s="8" t="s">
        <v>58</v>
      </c>
      <c r="C49" s="8">
        <v>17820</v>
      </c>
      <c r="D49" s="8">
        <v>18850</v>
      </c>
      <c r="E49" s="8" t="str">
        <f t="shared" si="0"/>
        <v>MayS108</v>
      </c>
      <c r="F49" s="8">
        <f t="shared" si="1"/>
        <v>1030</v>
      </c>
    </row>
    <row r="50" spans="1:6" x14ac:dyDescent="0.3">
      <c r="A50" s="8" t="s">
        <v>74</v>
      </c>
      <c r="B50" s="8" t="s">
        <v>61</v>
      </c>
      <c r="C50" s="8">
        <v>13850</v>
      </c>
      <c r="D50" s="8">
        <v>14850</v>
      </c>
      <c r="E50" s="8" t="str">
        <f t="shared" si="0"/>
        <v>MayS109</v>
      </c>
      <c r="F50" s="8">
        <f t="shared" si="1"/>
        <v>1000</v>
      </c>
    </row>
    <row r="51" spans="1:6" x14ac:dyDescent="0.3">
      <c r="A51" s="8" t="s">
        <v>74</v>
      </c>
      <c r="B51" s="8" t="s">
        <v>64</v>
      </c>
      <c r="C51" s="8">
        <v>16120</v>
      </c>
      <c r="D51" s="8">
        <v>17150</v>
      </c>
      <c r="E51" s="8" t="str">
        <f t="shared" si="0"/>
        <v>MayS110</v>
      </c>
      <c r="F51" s="8">
        <f t="shared" si="1"/>
        <v>1030</v>
      </c>
    </row>
    <row r="52" spans="1:6" x14ac:dyDescent="0.3">
      <c r="A52" s="8" t="s">
        <v>75</v>
      </c>
      <c r="B52" s="8" t="s">
        <v>37</v>
      </c>
      <c r="C52" s="8">
        <v>14100</v>
      </c>
      <c r="D52" s="8">
        <v>15000</v>
      </c>
      <c r="E52" s="8" t="str">
        <f t="shared" si="0"/>
        <v>JunS101</v>
      </c>
      <c r="F52" s="8">
        <f t="shared" si="1"/>
        <v>900</v>
      </c>
    </row>
    <row r="53" spans="1:6" x14ac:dyDescent="0.3">
      <c r="A53" s="8" t="s">
        <v>75</v>
      </c>
      <c r="B53" s="8" t="s">
        <v>40</v>
      </c>
      <c r="C53" s="8">
        <v>16600</v>
      </c>
      <c r="D53" s="8">
        <v>17650</v>
      </c>
      <c r="E53" s="8" t="str">
        <f t="shared" si="0"/>
        <v>JunS102</v>
      </c>
      <c r="F53" s="8">
        <f t="shared" si="1"/>
        <v>1050</v>
      </c>
    </row>
    <row r="54" spans="1:6" x14ac:dyDescent="0.3">
      <c r="A54" s="8" t="s">
        <v>75</v>
      </c>
      <c r="B54" s="8" t="s">
        <v>43</v>
      </c>
      <c r="C54" s="8">
        <v>12100</v>
      </c>
      <c r="D54" s="8">
        <v>13050</v>
      </c>
      <c r="E54" s="8" t="str">
        <f t="shared" si="0"/>
        <v>JunS103</v>
      </c>
      <c r="F54" s="8">
        <f t="shared" si="1"/>
        <v>950</v>
      </c>
    </row>
    <row r="55" spans="1:6" x14ac:dyDescent="0.3">
      <c r="A55" s="8" t="s">
        <v>75</v>
      </c>
      <c r="B55" s="8" t="s">
        <v>46</v>
      </c>
      <c r="C55" s="8">
        <v>20400</v>
      </c>
      <c r="D55" s="8">
        <v>21650</v>
      </c>
      <c r="E55" s="8" t="str">
        <f t="shared" si="0"/>
        <v>JunS104</v>
      </c>
      <c r="F55" s="8">
        <f t="shared" si="1"/>
        <v>1250</v>
      </c>
    </row>
    <row r="56" spans="1:6" x14ac:dyDescent="0.3">
      <c r="A56" s="8" t="s">
        <v>75</v>
      </c>
      <c r="B56" s="8" t="s">
        <v>49</v>
      </c>
      <c r="C56" s="8">
        <v>13600</v>
      </c>
      <c r="D56" s="8">
        <v>14520</v>
      </c>
      <c r="E56" s="8" t="str">
        <f t="shared" si="0"/>
        <v>JunS105</v>
      </c>
      <c r="F56" s="8">
        <f t="shared" si="1"/>
        <v>920</v>
      </c>
    </row>
    <row r="57" spans="1:6" x14ac:dyDescent="0.3">
      <c r="A57" s="8" t="s">
        <v>75</v>
      </c>
      <c r="B57" s="8" t="s">
        <v>52</v>
      </c>
      <c r="C57" s="8">
        <v>15400</v>
      </c>
      <c r="D57" s="8">
        <v>16450</v>
      </c>
      <c r="E57" s="8" t="str">
        <f t="shared" si="0"/>
        <v>JunS106</v>
      </c>
      <c r="F57" s="8">
        <f t="shared" si="1"/>
        <v>1050</v>
      </c>
    </row>
    <row r="58" spans="1:6" x14ac:dyDescent="0.3">
      <c r="A58" s="8" t="s">
        <v>75</v>
      </c>
      <c r="B58" s="8" t="s">
        <v>55</v>
      </c>
      <c r="C58" s="8">
        <v>14320</v>
      </c>
      <c r="D58" s="8">
        <v>15350</v>
      </c>
      <c r="E58" s="8" t="str">
        <f t="shared" si="0"/>
        <v>JunS107</v>
      </c>
      <c r="F58" s="8">
        <f t="shared" si="1"/>
        <v>1030</v>
      </c>
    </row>
    <row r="59" spans="1:6" x14ac:dyDescent="0.3">
      <c r="A59" s="8" t="s">
        <v>75</v>
      </c>
      <c r="B59" s="8" t="s">
        <v>58</v>
      </c>
      <c r="C59" s="8">
        <v>18850</v>
      </c>
      <c r="D59" s="8">
        <v>19950</v>
      </c>
      <c r="E59" s="8" t="str">
        <f t="shared" si="0"/>
        <v>JunS108</v>
      </c>
      <c r="F59" s="8">
        <f t="shared" si="1"/>
        <v>1100</v>
      </c>
    </row>
    <row r="60" spans="1:6" x14ac:dyDescent="0.3">
      <c r="A60" s="8" t="s">
        <v>75</v>
      </c>
      <c r="B60" s="8" t="s">
        <v>61</v>
      </c>
      <c r="C60" s="8">
        <v>14850</v>
      </c>
      <c r="D60" s="8">
        <v>15920</v>
      </c>
      <c r="E60" s="8" t="str">
        <f t="shared" si="0"/>
        <v>JunS109</v>
      </c>
      <c r="F60" s="8">
        <f t="shared" si="1"/>
        <v>1070</v>
      </c>
    </row>
    <row r="61" spans="1:6" x14ac:dyDescent="0.3">
      <c r="A61" s="8" t="s">
        <v>75</v>
      </c>
      <c r="B61" s="8" t="s">
        <v>64</v>
      </c>
      <c r="C61" s="8">
        <v>17150</v>
      </c>
      <c r="D61" s="8">
        <v>18250</v>
      </c>
      <c r="E61" s="8" t="str">
        <f t="shared" si="0"/>
        <v>JunS110</v>
      </c>
      <c r="F61" s="8">
        <f t="shared" si="1"/>
        <v>1100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CC8F-E3FA-482A-BADB-52203A79E964}">
  <sheetPr>
    <tabColor rgb="FF002060"/>
  </sheetPr>
  <dimension ref="A1:L30"/>
  <sheetViews>
    <sheetView tabSelected="1" zoomScaleNormal="100" workbookViewId="0">
      <selection activeCell="P20" sqref="P20"/>
    </sheetView>
  </sheetViews>
  <sheetFormatPr defaultRowHeight="14.4" x14ac:dyDescent="0.3"/>
  <cols>
    <col min="1" max="1" width="16.33203125" bestFit="1" customWidth="1"/>
    <col min="2" max="2" width="12.109375" style="10" bestFit="1" customWidth="1"/>
    <col min="3" max="3" width="15.44140625" customWidth="1"/>
    <col min="4" max="4" width="7.88671875" customWidth="1"/>
    <col min="5" max="5" width="9" customWidth="1"/>
    <col min="6" max="6" width="8.109375" customWidth="1"/>
    <col min="7" max="7" width="11.33203125" customWidth="1"/>
    <col min="8" max="9" width="12.5546875" bestFit="1" customWidth="1"/>
    <col min="10" max="10" width="18" bestFit="1" customWidth="1"/>
    <col min="11" max="11" width="12.5546875" bestFit="1" customWidth="1"/>
    <col min="12" max="12" width="12.109375" bestFit="1" customWidth="1"/>
  </cols>
  <sheetData>
    <row r="1" spans="1:12" s="12" customFormat="1" ht="28.8" x14ac:dyDescent="0.3">
      <c r="A1" s="14" t="s">
        <v>182</v>
      </c>
      <c r="B1" s="15" t="s">
        <v>184</v>
      </c>
      <c r="K1" s="14" t="s">
        <v>182</v>
      </c>
      <c r="L1" s="15" t="s">
        <v>184</v>
      </c>
    </row>
    <row r="2" spans="1:12" x14ac:dyDescent="0.3">
      <c r="A2" s="9" t="s">
        <v>73</v>
      </c>
      <c r="B2" s="10">
        <v>72960</v>
      </c>
      <c r="K2" s="9" t="s">
        <v>94</v>
      </c>
      <c r="L2" s="10">
        <v>218400</v>
      </c>
    </row>
    <row r="3" spans="1:12" x14ac:dyDescent="0.3">
      <c r="A3" s="9" t="s">
        <v>71</v>
      </c>
      <c r="B3" s="10">
        <v>68960</v>
      </c>
      <c r="K3" s="9" t="s">
        <v>82</v>
      </c>
      <c r="L3" s="10">
        <v>142960</v>
      </c>
    </row>
    <row r="4" spans="1:12" x14ac:dyDescent="0.3">
      <c r="A4" s="9" t="s">
        <v>70</v>
      </c>
      <c r="B4" s="10">
        <v>69360</v>
      </c>
      <c r="K4" s="9" t="s">
        <v>85</v>
      </c>
      <c r="L4" s="10">
        <v>83360</v>
      </c>
    </row>
    <row r="5" spans="1:12" x14ac:dyDescent="0.3">
      <c r="A5" s="9" t="s">
        <v>75</v>
      </c>
      <c r="B5" s="10">
        <v>83360</v>
      </c>
      <c r="K5" s="9" t="s">
        <v>183</v>
      </c>
      <c r="L5" s="10">
        <v>444720</v>
      </c>
    </row>
    <row r="6" spans="1:12" x14ac:dyDescent="0.3">
      <c r="A6" s="9" t="s">
        <v>72</v>
      </c>
      <c r="B6" s="10">
        <v>71040</v>
      </c>
    </row>
    <row r="7" spans="1:12" x14ac:dyDescent="0.3">
      <c r="A7" s="9" t="s">
        <v>74</v>
      </c>
      <c r="B7" s="10">
        <v>79040</v>
      </c>
    </row>
    <row r="8" spans="1:12" x14ac:dyDescent="0.3">
      <c r="A8" s="9" t="s">
        <v>183</v>
      </c>
      <c r="B8" s="10">
        <v>444720</v>
      </c>
    </row>
    <row r="13" spans="1:12" ht="43.2" x14ac:dyDescent="0.3">
      <c r="A13" s="13" t="s">
        <v>182</v>
      </c>
      <c r="B13" s="15" t="s">
        <v>185</v>
      </c>
    </row>
    <row r="14" spans="1:12" x14ac:dyDescent="0.3">
      <c r="A14" s="9" t="s">
        <v>14</v>
      </c>
      <c r="B14" s="10">
        <v>6650</v>
      </c>
    </row>
    <row r="15" spans="1:12" x14ac:dyDescent="0.3">
      <c r="A15" s="9" t="s">
        <v>26</v>
      </c>
      <c r="B15" s="10">
        <v>5950</v>
      </c>
    </row>
    <row r="16" spans="1:12" s="12" customFormat="1" x14ac:dyDescent="0.3">
      <c r="A16" s="9" t="s">
        <v>32</v>
      </c>
      <c r="B16" s="10">
        <v>5750</v>
      </c>
      <c r="C16"/>
    </row>
    <row r="17" spans="1:2" x14ac:dyDescent="0.3">
      <c r="A17" s="9" t="s">
        <v>29</v>
      </c>
      <c r="B17" s="10">
        <v>5720</v>
      </c>
    </row>
    <row r="18" spans="1:2" x14ac:dyDescent="0.3">
      <c r="A18" s="9" t="s">
        <v>8</v>
      </c>
      <c r="B18" s="10">
        <v>5650</v>
      </c>
    </row>
    <row r="19" spans="1:2" x14ac:dyDescent="0.3">
      <c r="A19" s="9" t="s">
        <v>23</v>
      </c>
      <c r="B19" s="10">
        <v>5550</v>
      </c>
    </row>
    <row r="20" spans="1:2" x14ac:dyDescent="0.3">
      <c r="A20" s="9" t="s">
        <v>20</v>
      </c>
      <c r="B20" s="10">
        <v>5450</v>
      </c>
    </row>
    <row r="21" spans="1:2" x14ac:dyDescent="0.3">
      <c r="A21" s="9" t="s">
        <v>17</v>
      </c>
      <c r="B21" s="10">
        <v>5320</v>
      </c>
    </row>
    <row r="22" spans="1:2" x14ac:dyDescent="0.3">
      <c r="A22" s="9" t="s">
        <v>5</v>
      </c>
      <c r="B22" s="10">
        <v>5000</v>
      </c>
    </row>
    <row r="23" spans="1:2" x14ac:dyDescent="0.3">
      <c r="A23" s="9" t="s">
        <v>11</v>
      </c>
      <c r="B23" s="10">
        <v>4550</v>
      </c>
    </row>
    <row r="24" spans="1:2" x14ac:dyDescent="0.3">
      <c r="A24" s="9" t="s">
        <v>183</v>
      </c>
      <c r="B24" s="10">
        <v>55590</v>
      </c>
    </row>
    <row r="25" spans="1:2" x14ac:dyDescent="0.3">
      <c r="B25"/>
    </row>
    <row r="26" spans="1:2" x14ac:dyDescent="0.3">
      <c r="B26"/>
    </row>
    <row r="27" spans="1:2" x14ac:dyDescent="0.3">
      <c r="B27"/>
    </row>
    <row r="28" spans="1:2" x14ac:dyDescent="0.3">
      <c r="B28"/>
    </row>
    <row r="29" spans="1:2" x14ac:dyDescent="0.3">
      <c r="B29"/>
    </row>
    <row r="30" spans="1:2" x14ac:dyDescent="0.3">
      <c r="B3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75B6-EEA2-47DE-9D27-8F9D8DA87057}">
  <dimension ref="A1:J61"/>
  <sheetViews>
    <sheetView zoomScale="113" workbookViewId="0">
      <selection activeCell="I2" sqref="I2"/>
    </sheetView>
  </sheetViews>
  <sheetFormatPr defaultRowHeight="14.4" x14ac:dyDescent="0.3"/>
  <cols>
    <col min="4" max="4" width="14.88671875" bestFit="1" customWidth="1"/>
    <col min="5" max="5" width="15.77734375" style="10" customWidth="1"/>
    <col min="6" max="6" width="12.6640625" customWidth="1"/>
    <col min="7" max="7" width="14.77734375" customWidth="1"/>
    <col min="8" max="8" width="15.6640625" customWidth="1"/>
    <col min="9" max="9" width="12.5546875" bestFit="1" customWidth="1"/>
    <col min="10" max="10" width="19.44140625" bestFit="1" customWidth="1"/>
  </cols>
  <sheetData>
    <row r="1" spans="1:10" s="6" customFormat="1" x14ac:dyDescent="0.3">
      <c r="A1" s="6" t="s">
        <v>76</v>
      </c>
      <c r="B1" s="6" t="s">
        <v>67</v>
      </c>
      <c r="C1" s="6" t="s">
        <v>34</v>
      </c>
      <c r="D1" s="6" t="s">
        <v>77</v>
      </c>
      <c r="E1" s="11" t="s">
        <v>78</v>
      </c>
      <c r="F1" s="6" t="s">
        <v>79</v>
      </c>
      <c r="G1" s="6" t="s">
        <v>80</v>
      </c>
      <c r="H1" s="6" t="s">
        <v>1</v>
      </c>
      <c r="I1" s="6" t="s">
        <v>97</v>
      </c>
      <c r="J1" s="6" t="s">
        <v>104</v>
      </c>
    </row>
    <row r="2" spans="1:10" x14ac:dyDescent="0.3">
      <c r="A2" t="s">
        <v>81</v>
      </c>
      <c r="B2" t="s">
        <v>70</v>
      </c>
      <c r="C2" t="s">
        <v>37</v>
      </c>
      <c r="D2">
        <f>INDEX(Meter_Readings!$F:$F,MATCH(B2&amp;C2,Meter_Readings!$E:$E,0))</f>
        <v>800</v>
      </c>
      <c r="E2" s="10">
        <f t="shared" ref="E2:E56" si="0">D2*8</f>
        <v>6400</v>
      </c>
      <c r="F2" s="5">
        <v>46032</v>
      </c>
      <c r="G2" t="str">
        <f ca="1">IF(I2&gt;=E2,"Paid",IF(TODAY()&gt;F2,"Overdue","Pending"))</f>
        <v>Paid</v>
      </c>
      <c r="H2" t="str">
        <f>INDEX(Sites_Master!$E:$E,MATCH(C2,Sites_Master!$A:$A,0))</f>
        <v>Tata Power</v>
      </c>
      <c r="I2">
        <f>SUMIFS(Payments!$D:$D,Payments!$B:$B,A2)</f>
        <v>6400</v>
      </c>
      <c r="J2" s="10">
        <f t="shared" ref="J2:J56" si="1">E2-I2</f>
        <v>0</v>
      </c>
    </row>
    <row r="3" spans="1:10" x14ac:dyDescent="0.3">
      <c r="A3" t="s">
        <v>83</v>
      </c>
      <c r="B3" t="s">
        <v>70</v>
      </c>
      <c r="C3" t="s">
        <v>40</v>
      </c>
      <c r="D3">
        <f>INDEX(Meter_Readings!$F:$F,MATCH(B3&amp;C3,Meter_Readings!$E:$E,0))</f>
        <v>950</v>
      </c>
      <c r="E3" s="10">
        <f t="shared" si="0"/>
        <v>7600</v>
      </c>
      <c r="F3" s="5">
        <v>46032</v>
      </c>
      <c r="G3" t="str">
        <f t="shared" ref="G3:G61" ca="1" si="2">IF(I3&gt;=E3,"Paid",IF(TODAY()&gt;F3,"Overdue","Pending"))</f>
        <v>Paid</v>
      </c>
      <c r="H3" t="str">
        <f>INDEX(Sites_Master!$E:$E,MATCH(C3,Sites_Master!$A:$A,0))</f>
        <v>Adani Electricity</v>
      </c>
      <c r="I3">
        <f>SUMIFS(Payments!$D:$D,Payments!$B:$B,A3)</f>
        <v>7600</v>
      </c>
      <c r="J3" s="10">
        <f t="shared" si="1"/>
        <v>0</v>
      </c>
    </row>
    <row r="4" spans="1:10" x14ac:dyDescent="0.3">
      <c r="A4" t="s">
        <v>84</v>
      </c>
      <c r="B4" t="s">
        <v>70</v>
      </c>
      <c r="C4" t="s">
        <v>43</v>
      </c>
      <c r="D4">
        <f>INDEX(Meter_Readings!$F:$F,MATCH(B4&amp;C4,Meter_Readings!$E:$E,0))</f>
        <v>600</v>
      </c>
      <c r="E4" s="10">
        <f t="shared" si="0"/>
        <v>4800</v>
      </c>
      <c r="F4" s="5">
        <v>46032</v>
      </c>
      <c r="G4" t="str">
        <f t="shared" ca="1" si="2"/>
        <v>Overdue</v>
      </c>
      <c r="H4" t="str">
        <f>INDEX(Sites_Master!$E:$E,MATCH(C4,Sites_Master!$A:$A,0))</f>
        <v>BSES Rajdhani</v>
      </c>
      <c r="I4">
        <f>SUMIFS(Payments!$D:$D,Payments!$B:$B,A4)</f>
        <v>0</v>
      </c>
      <c r="J4" s="10">
        <f t="shared" si="1"/>
        <v>4800</v>
      </c>
    </row>
    <row r="5" spans="1:10" x14ac:dyDescent="0.3">
      <c r="A5" t="s">
        <v>86</v>
      </c>
      <c r="B5" t="s">
        <v>70</v>
      </c>
      <c r="C5" t="s">
        <v>46</v>
      </c>
      <c r="D5">
        <f>INDEX(Meter_Readings!$F:$F,MATCH(B5&amp;C5,Meter_Readings!$E:$E,0))</f>
        <v>1050</v>
      </c>
      <c r="E5" s="10">
        <f t="shared" si="0"/>
        <v>8400</v>
      </c>
      <c r="F5" s="5">
        <v>46032</v>
      </c>
      <c r="G5" t="str">
        <f t="shared" ca="1" si="2"/>
        <v>Paid</v>
      </c>
      <c r="H5" t="str">
        <f>INDEX(Sites_Master!$E:$E,MATCH(C5,Sites_Master!$A:$A,0))</f>
        <v>Torrent Power</v>
      </c>
      <c r="I5">
        <f>SUMIFS(Payments!$D:$D,Payments!$B:$B,A5)</f>
        <v>8400</v>
      </c>
      <c r="J5" s="10">
        <f t="shared" si="1"/>
        <v>0</v>
      </c>
    </row>
    <row r="6" spans="1:10" x14ac:dyDescent="0.3">
      <c r="A6" t="s">
        <v>87</v>
      </c>
      <c r="B6" t="s">
        <v>70</v>
      </c>
      <c r="C6" t="s">
        <v>49</v>
      </c>
      <c r="D6">
        <f>INDEX(Meter_Readings!$F:$F,MATCH(B6&amp;C6,Meter_Readings!$E:$E,0))</f>
        <v>820</v>
      </c>
      <c r="E6" s="10">
        <f t="shared" si="0"/>
        <v>6560</v>
      </c>
      <c r="F6" s="5">
        <v>46032</v>
      </c>
      <c r="G6" t="str">
        <f t="shared" ca="1" si="2"/>
        <v>Overdue</v>
      </c>
      <c r="H6" t="str">
        <f>INDEX(Sites_Master!$E:$E,MATCH(C6,Sites_Master!$A:$A,0))</f>
        <v>CESC Limited</v>
      </c>
      <c r="I6">
        <f>SUMIFS(Payments!$D:$D,Payments!$B:$B,A6)</f>
        <v>0</v>
      </c>
      <c r="J6" s="10">
        <f t="shared" si="1"/>
        <v>6560</v>
      </c>
    </row>
    <row r="7" spans="1:10" x14ac:dyDescent="0.3">
      <c r="A7" t="s">
        <v>88</v>
      </c>
      <c r="B7" t="s">
        <v>70</v>
      </c>
      <c r="C7" t="s">
        <v>52</v>
      </c>
      <c r="D7">
        <f>INDEX(Meter_Readings!$F:$F,MATCH(B7&amp;C7,Meter_Readings!$E:$E,0))</f>
        <v>800</v>
      </c>
      <c r="E7" s="10">
        <f t="shared" si="0"/>
        <v>6400</v>
      </c>
      <c r="F7" s="5">
        <v>46032</v>
      </c>
      <c r="G7" t="str">
        <f t="shared" ca="1" si="2"/>
        <v>Paid</v>
      </c>
      <c r="H7" t="str">
        <f>INDEX(Sites_Master!$E:$E,MATCH(C7,Sites_Master!$A:$A,0))</f>
        <v>Reliance Energy</v>
      </c>
      <c r="I7">
        <f>SUMIFS(Payments!$D:$D,Payments!$B:$B,A7)</f>
        <v>6400</v>
      </c>
      <c r="J7" s="10">
        <f t="shared" si="1"/>
        <v>0</v>
      </c>
    </row>
    <row r="8" spans="1:10" x14ac:dyDescent="0.3">
      <c r="A8" t="s">
        <v>89</v>
      </c>
      <c r="B8" t="s">
        <v>70</v>
      </c>
      <c r="C8" t="s">
        <v>55</v>
      </c>
      <c r="D8">
        <f>INDEX(Meter_Readings!$F:$F,MATCH(B8&amp;C8,Meter_Readings!$E:$E,0))</f>
        <v>850</v>
      </c>
      <c r="E8" s="10">
        <f t="shared" si="0"/>
        <v>6800</v>
      </c>
      <c r="F8" s="5">
        <v>46032</v>
      </c>
      <c r="G8" t="str">
        <f t="shared" ca="1" si="2"/>
        <v>Overdue</v>
      </c>
      <c r="H8" t="str">
        <f>INDEX(Sites_Master!$E:$E,MATCH(C8,Sites_Master!$A:$A,0))</f>
        <v>NTPC Utility</v>
      </c>
      <c r="I8">
        <f>SUMIFS(Payments!$D:$D,Payments!$B:$B,A8)</f>
        <v>0</v>
      </c>
      <c r="J8" s="10">
        <f t="shared" si="1"/>
        <v>6800</v>
      </c>
    </row>
    <row r="9" spans="1:10" x14ac:dyDescent="0.3">
      <c r="A9" t="s">
        <v>90</v>
      </c>
      <c r="B9" t="s">
        <v>70</v>
      </c>
      <c r="C9" t="s">
        <v>58</v>
      </c>
      <c r="D9">
        <f>INDEX(Meter_Readings!$F:$F,MATCH(B9&amp;C9,Meter_Readings!$E:$E,0))</f>
        <v>950</v>
      </c>
      <c r="E9" s="10">
        <f t="shared" si="0"/>
        <v>7600</v>
      </c>
      <c r="F9" s="5">
        <v>46032</v>
      </c>
      <c r="G9" t="str">
        <f t="shared" ca="1" si="2"/>
        <v>Paid</v>
      </c>
      <c r="H9" t="str">
        <f>INDEX(Sites_Master!$E:$E,MATCH(C9,Sites_Master!$A:$A,0))</f>
        <v>Green Energy Corp</v>
      </c>
      <c r="I9">
        <f>SUMIFS(Payments!$D:$D,Payments!$B:$B,A9)</f>
        <v>7600</v>
      </c>
      <c r="J9" s="10">
        <f t="shared" si="1"/>
        <v>0</v>
      </c>
    </row>
    <row r="10" spans="1:10" x14ac:dyDescent="0.3">
      <c r="A10" t="s">
        <v>91</v>
      </c>
      <c r="B10" t="s">
        <v>70</v>
      </c>
      <c r="C10" t="s">
        <v>61</v>
      </c>
      <c r="D10">
        <f>INDEX(Meter_Readings!$F:$F,MATCH(B10&amp;C10,Meter_Readings!$E:$E,0))</f>
        <v>900</v>
      </c>
      <c r="E10" s="10">
        <f t="shared" si="0"/>
        <v>7200</v>
      </c>
      <c r="F10" s="5">
        <v>46032</v>
      </c>
      <c r="G10" t="str">
        <f t="shared" ca="1" si="2"/>
        <v>Overdue</v>
      </c>
      <c r="H10" t="str">
        <f>INDEX(Sites_Master!$E:$E,MATCH(C10,Sites_Master!$A:$A,0))</f>
        <v>State Power Board</v>
      </c>
      <c r="I10">
        <f>SUMIFS(Payments!$D:$D,Payments!$B:$B,A10)</f>
        <v>0</v>
      </c>
      <c r="J10" s="10">
        <f t="shared" si="1"/>
        <v>7200</v>
      </c>
    </row>
    <row r="11" spans="1:10" x14ac:dyDescent="0.3">
      <c r="A11" t="s">
        <v>92</v>
      </c>
      <c r="B11" t="s">
        <v>70</v>
      </c>
      <c r="C11" t="s">
        <v>64</v>
      </c>
      <c r="D11">
        <f>INDEX(Meter_Readings!$F:$F,MATCH(B11&amp;C11,Meter_Readings!$E:$E,0))</f>
        <v>950</v>
      </c>
      <c r="E11" s="10">
        <f t="shared" si="0"/>
        <v>7600</v>
      </c>
      <c r="F11" s="5">
        <v>46032</v>
      </c>
      <c r="G11" t="str">
        <f t="shared" ca="1" si="2"/>
        <v>Paid</v>
      </c>
      <c r="H11" t="str">
        <f>INDEX(Sites_Master!$E:$E,MATCH(C11,Sites_Master!$A:$A,0))</f>
        <v>Metro Electric</v>
      </c>
      <c r="I11">
        <f>SUMIFS(Payments!$D:$D,Payments!$B:$B,A11)</f>
        <v>7600</v>
      </c>
      <c r="J11" s="10">
        <f t="shared" si="1"/>
        <v>0</v>
      </c>
    </row>
    <row r="12" spans="1:10" x14ac:dyDescent="0.3">
      <c r="A12" t="s">
        <v>105</v>
      </c>
      <c r="B12" t="s">
        <v>71</v>
      </c>
      <c r="C12" t="s">
        <v>37</v>
      </c>
      <c r="D12">
        <f>INDEX(Meter_Readings!$F:$F,MATCH(B12&amp;C12,Meter_Readings!$E:$E,0))</f>
        <v>850</v>
      </c>
      <c r="E12" s="10">
        <f t="shared" si="0"/>
        <v>6800</v>
      </c>
      <c r="F12" s="5">
        <v>46063</v>
      </c>
      <c r="G12" t="str">
        <f t="shared" ca="1" si="2"/>
        <v>Paid</v>
      </c>
      <c r="H12" t="str">
        <f>INDEX(Sites_Master!$E:$E,MATCH(C12,Sites_Master!$A:$A,0))</f>
        <v>Tata Power</v>
      </c>
      <c r="I12">
        <f>SUMIFS(Payments!$D:$D,Payments!$B:$B,A12)</f>
        <v>6800</v>
      </c>
      <c r="J12" s="10">
        <f t="shared" si="1"/>
        <v>0</v>
      </c>
    </row>
    <row r="13" spans="1:10" x14ac:dyDescent="0.3">
      <c r="A13" t="s">
        <v>106</v>
      </c>
      <c r="B13" t="s">
        <v>71</v>
      </c>
      <c r="C13" t="s">
        <v>40</v>
      </c>
      <c r="D13">
        <f>INDEX(Meter_Readings!$F:$F,MATCH(B13&amp;C13,Meter_Readings!$E:$E,0))</f>
        <v>900</v>
      </c>
      <c r="E13" s="10">
        <f t="shared" si="0"/>
        <v>7200</v>
      </c>
      <c r="F13" s="5">
        <v>46063</v>
      </c>
      <c r="G13" t="str">
        <f t="shared" ca="1" si="2"/>
        <v>Overdue</v>
      </c>
      <c r="H13" t="str">
        <f>INDEX(Sites_Master!$E:$E,MATCH(C13,Sites_Master!$A:$A,0))</f>
        <v>Adani Electricity</v>
      </c>
      <c r="I13">
        <f>SUMIFS(Payments!$D:$D,Payments!$B:$B,A13)</f>
        <v>0</v>
      </c>
      <c r="J13" s="10">
        <f t="shared" si="1"/>
        <v>7200</v>
      </c>
    </row>
    <row r="14" spans="1:10" x14ac:dyDescent="0.3">
      <c r="A14" t="s">
        <v>107</v>
      </c>
      <c r="B14" t="s">
        <v>71</v>
      </c>
      <c r="C14" t="s">
        <v>43</v>
      </c>
      <c r="D14">
        <f>INDEX(Meter_Readings!$F:$F,MATCH(B14&amp;C14,Meter_Readings!$E:$E,0))</f>
        <v>700</v>
      </c>
      <c r="E14" s="10">
        <f t="shared" si="0"/>
        <v>5600</v>
      </c>
      <c r="F14" s="5">
        <v>46063</v>
      </c>
      <c r="G14" t="str">
        <f t="shared" ca="1" si="2"/>
        <v>Paid</v>
      </c>
      <c r="H14" t="str">
        <f>INDEX(Sites_Master!$E:$E,MATCH(C14,Sites_Master!$A:$A,0))</f>
        <v>BSES Rajdhani</v>
      </c>
      <c r="I14">
        <f>SUMIFS(Payments!$D:$D,Payments!$B:$B,A14)</f>
        <v>5600</v>
      </c>
      <c r="J14" s="10">
        <f t="shared" si="1"/>
        <v>0</v>
      </c>
    </row>
    <row r="15" spans="1:10" x14ac:dyDescent="0.3">
      <c r="A15" t="s">
        <v>108</v>
      </c>
      <c r="B15" t="s">
        <v>71</v>
      </c>
      <c r="C15" t="s">
        <v>46</v>
      </c>
      <c r="D15">
        <f>INDEX(Meter_Readings!$F:$F,MATCH(B15&amp;C15,Meter_Readings!$E:$E,0))</f>
        <v>950</v>
      </c>
      <c r="E15" s="10">
        <f t="shared" si="0"/>
        <v>7600</v>
      </c>
      <c r="F15" s="5">
        <v>46063</v>
      </c>
      <c r="G15" t="str">
        <f t="shared" ca="1" si="2"/>
        <v>Paid</v>
      </c>
      <c r="H15" t="str">
        <f>INDEX(Sites_Master!$E:$E,MATCH(C15,Sites_Master!$A:$A,0))</f>
        <v>Torrent Power</v>
      </c>
      <c r="I15">
        <f>SUMIFS(Payments!$D:$D,Payments!$B:$B,A15)</f>
        <v>8400</v>
      </c>
      <c r="J15" s="10">
        <f t="shared" si="1"/>
        <v>-800</v>
      </c>
    </row>
    <row r="16" spans="1:10" x14ac:dyDescent="0.3">
      <c r="A16" t="s">
        <v>109</v>
      </c>
      <c r="B16" t="s">
        <v>71</v>
      </c>
      <c r="C16" t="s">
        <v>49</v>
      </c>
      <c r="D16">
        <f>INDEX(Meter_Readings!$F:$F,MATCH(B16&amp;C16,Meter_Readings!$E:$E,0))</f>
        <v>830</v>
      </c>
      <c r="E16" s="10">
        <f t="shared" si="0"/>
        <v>6640</v>
      </c>
      <c r="F16" s="5">
        <v>46063</v>
      </c>
      <c r="G16" t="str">
        <f t="shared" ca="1" si="2"/>
        <v>Overdue</v>
      </c>
      <c r="H16" t="str">
        <f>INDEX(Sites_Master!$E:$E,MATCH(C16,Sites_Master!$A:$A,0))</f>
        <v>CESC Limited</v>
      </c>
      <c r="I16">
        <f>SUMIFS(Payments!$D:$D,Payments!$B:$B,A16)</f>
        <v>0</v>
      </c>
      <c r="J16" s="10">
        <f t="shared" si="1"/>
        <v>6640</v>
      </c>
    </row>
    <row r="17" spans="1:10" x14ac:dyDescent="0.3">
      <c r="A17" t="s">
        <v>110</v>
      </c>
      <c r="B17" t="s">
        <v>71</v>
      </c>
      <c r="C17" t="s">
        <v>52</v>
      </c>
      <c r="D17">
        <f>INDEX(Meter_Readings!$F:$F,MATCH(B17&amp;C17,Meter_Readings!$E:$E,0))</f>
        <v>800</v>
      </c>
      <c r="E17" s="10">
        <f t="shared" si="0"/>
        <v>6400</v>
      </c>
      <c r="F17" s="5">
        <v>46063</v>
      </c>
      <c r="G17" t="str">
        <f t="shared" ca="1" si="2"/>
        <v>Paid</v>
      </c>
      <c r="H17" t="str">
        <f>INDEX(Sites_Master!$E:$E,MATCH(C17,Sites_Master!$A:$A,0))</f>
        <v>Reliance Energy</v>
      </c>
      <c r="I17">
        <f>SUMIFS(Payments!$D:$D,Payments!$B:$B,A17)</f>
        <v>6400</v>
      </c>
      <c r="J17" s="10">
        <f t="shared" si="1"/>
        <v>0</v>
      </c>
    </row>
    <row r="18" spans="1:10" x14ac:dyDescent="0.3">
      <c r="A18" t="s">
        <v>111</v>
      </c>
      <c r="B18" t="s">
        <v>71</v>
      </c>
      <c r="C18" t="s">
        <v>55</v>
      </c>
      <c r="D18">
        <f>INDEX(Meter_Readings!$F:$F,MATCH(B18&amp;C18,Meter_Readings!$E:$E,0))</f>
        <v>870</v>
      </c>
      <c r="E18" s="10">
        <f t="shared" si="0"/>
        <v>6960</v>
      </c>
      <c r="F18" s="5">
        <v>46063</v>
      </c>
      <c r="G18" t="str">
        <f t="shared" ca="1" si="2"/>
        <v>Overdue</v>
      </c>
      <c r="H18" t="str">
        <f>INDEX(Sites_Master!$E:$E,MATCH(C18,Sites_Master!$A:$A,0))</f>
        <v>NTPC Utility</v>
      </c>
      <c r="I18">
        <f>SUMIFS(Payments!$D:$D,Payments!$B:$B,A18)</f>
        <v>0</v>
      </c>
      <c r="J18" s="10">
        <f t="shared" si="1"/>
        <v>6960</v>
      </c>
    </row>
    <row r="19" spans="1:10" x14ac:dyDescent="0.3">
      <c r="A19" t="s">
        <v>112</v>
      </c>
      <c r="B19" t="s">
        <v>71</v>
      </c>
      <c r="C19" t="s">
        <v>58</v>
      </c>
      <c r="D19">
        <f>INDEX(Meter_Readings!$F:$F,MATCH(B19&amp;C19,Meter_Readings!$E:$E,0))</f>
        <v>950</v>
      </c>
      <c r="E19" s="10">
        <f t="shared" si="0"/>
        <v>7600</v>
      </c>
      <c r="F19" s="5">
        <v>46063</v>
      </c>
      <c r="G19" t="str">
        <f t="shared" ca="1" si="2"/>
        <v>Paid</v>
      </c>
      <c r="H19" t="str">
        <f>INDEX(Sites_Master!$E:$E,MATCH(C19,Sites_Master!$A:$A,0))</f>
        <v>Green Energy Corp</v>
      </c>
      <c r="I19">
        <f>SUMIFS(Payments!$D:$D,Payments!$B:$B,A19)</f>
        <v>7600</v>
      </c>
      <c r="J19" s="10">
        <f t="shared" si="1"/>
        <v>0</v>
      </c>
    </row>
    <row r="20" spans="1:10" x14ac:dyDescent="0.3">
      <c r="A20" t="s">
        <v>113</v>
      </c>
      <c r="B20" t="s">
        <v>71</v>
      </c>
      <c r="C20" t="s">
        <v>61</v>
      </c>
      <c r="D20">
        <f>INDEX(Meter_Readings!$F:$F,MATCH(B20&amp;C20,Meter_Readings!$E:$E,0))</f>
        <v>900</v>
      </c>
      <c r="E20" s="10">
        <f t="shared" si="0"/>
        <v>7200</v>
      </c>
      <c r="F20" s="5">
        <v>46063</v>
      </c>
      <c r="G20" t="str">
        <f t="shared" ca="1" si="2"/>
        <v>Overdue</v>
      </c>
      <c r="H20" t="str">
        <f>INDEX(Sites_Master!$E:$E,MATCH(C20,Sites_Master!$A:$A,0))</f>
        <v>State Power Board</v>
      </c>
      <c r="I20">
        <f>SUMIFS(Payments!$D:$D,Payments!$B:$B,A20)</f>
        <v>0</v>
      </c>
      <c r="J20" s="10">
        <f t="shared" si="1"/>
        <v>7200</v>
      </c>
    </row>
    <row r="21" spans="1:10" x14ac:dyDescent="0.3">
      <c r="A21" t="s">
        <v>114</v>
      </c>
      <c r="B21" t="s">
        <v>71</v>
      </c>
      <c r="C21" t="s">
        <v>64</v>
      </c>
      <c r="D21">
        <f>INDEX(Meter_Readings!$F:$F,MATCH(B21&amp;C21,Meter_Readings!$E:$E,0))</f>
        <v>870</v>
      </c>
      <c r="E21" s="10">
        <f t="shared" si="0"/>
        <v>6960</v>
      </c>
      <c r="F21" s="5">
        <v>46063</v>
      </c>
      <c r="G21" t="str">
        <f t="shared" ca="1" si="2"/>
        <v>Paid</v>
      </c>
      <c r="H21" t="str">
        <f>INDEX(Sites_Master!$E:$E,MATCH(C21,Sites_Master!$A:$A,0))</f>
        <v>Metro Electric</v>
      </c>
      <c r="I21">
        <f>SUMIFS(Payments!$D:$D,Payments!$B:$B,A21)</f>
        <v>7600</v>
      </c>
      <c r="J21" s="10">
        <f t="shared" si="1"/>
        <v>-640</v>
      </c>
    </row>
    <row r="22" spans="1:10" x14ac:dyDescent="0.3">
      <c r="A22" t="s">
        <v>115</v>
      </c>
      <c r="B22" t="s">
        <v>72</v>
      </c>
      <c r="C22" t="s">
        <v>37</v>
      </c>
      <c r="D22">
        <f>INDEX(Meter_Readings!$F:$F,MATCH(B22&amp;C22,Meter_Readings!$E:$E,0))</f>
        <v>800</v>
      </c>
      <c r="E22" s="10">
        <f t="shared" si="0"/>
        <v>6400</v>
      </c>
      <c r="F22" s="5">
        <v>46091</v>
      </c>
      <c r="G22" t="str">
        <f t="shared" ca="1" si="2"/>
        <v>Overdue</v>
      </c>
      <c r="H22" t="str">
        <f>INDEX(Sites_Master!$E:$E,MATCH(C22,Sites_Master!$A:$A,0))</f>
        <v>Tata Power</v>
      </c>
      <c r="I22">
        <f>SUMIFS(Payments!$D:$D,Payments!$B:$B,A22)</f>
        <v>0</v>
      </c>
      <c r="J22" s="10">
        <f t="shared" si="1"/>
        <v>6400</v>
      </c>
    </row>
    <row r="23" spans="1:10" x14ac:dyDescent="0.3">
      <c r="A23" t="s">
        <v>116</v>
      </c>
      <c r="B23" t="s">
        <v>72</v>
      </c>
      <c r="C23" t="s">
        <v>40</v>
      </c>
      <c r="D23">
        <f>INDEX(Meter_Readings!$F:$F,MATCH(B23&amp;C23,Meter_Readings!$E:$E,0))</f>
        <v>870</v>
      </c>
      <c r="E23" s="10">
        <f t="shared" si="0"/>
        <v>6960</v>
      </c>
      <c r="F23" s="5">
        <v>46091</v>
      </c>
      <c r="G23" t="str">
        <f t="shared" ca="1" si="2"/>
        <v>Paid</v>
      </c>
      <c r="H23" t="str">
        <f>INDEX(Sites_Master!$E:$E,MATCH(C23,Sites_Master!$A:$A,0))</f>
        <v>Adani Electricity</v>
      </c>
      <c r="I23">
        <f>SUMIFS(Payments!$D:$D,Payments!$B:$B,A23)</f>
        <v>7000</v>
      </c>
      <c r="J23" s="10">
        <f t="shared" si="1"/>
        <v>-40</v>
      </c>
    </row>
    <row r="24" spans="1:10" x14ac:dyDescent="0.3">
      <c r="A24" t="s">
        <v>117</v>
      </c>
      <c r="B24" t="s">
        <v>72</v>
      </c>
      <c r="C24" t="s">
        <v>43</v>
      </c>
      <c r="D24">
        <f>INDEX(Meter_Readings!$F:$F,MATCH(B24&amp;C24,Meter_Readings!$E:$E,0))</f>
        <v>700</v>
      </c>
      <c r="E24" s="10">
        <f t="shared" si="0"/>
        <v>5600</v>
      </c>
      <c r="F24" s="5">
        <v>46091</v>
      </c>
      <c r="G24" t="str">
        <f t="shared" ca="1" si="2"/>
        <v>Overdue</v>
      </c>
      <c r="H24" t="str">
        <f>INDEX(Sites_Master!$E:$E,MATCH(C24,Sites_Master!$A:$A,0))</f>
        <v>BSES Rajdhani</v>
      </c>
      <c r="I24">
        <f>SUMIFS(Payments!$D:$D,Payments!$B:$B,A24)</f>
        <v>0</v>
      </c>
      <c r="J24" s="10">
        <f t="shared" si="1"/>
        <v>5600</v>
      </c>
    </row>
    <row r="25" spans="1:10" x14ac:dyDescent="0.3">
      <c r="A25" t="s">
        <v>118</v>
      </c>
      <c r="B25" t="s">
        <v>72</v>
      </c>
      <c r="C25" t="s">
        <v>46</v>
      </c>
      <c r="D25">
        <f>INDEX(Meter_Readings!$F:$F,MATCH(B25&amp;C25,Meter_Readings!$E:$E,0))</f>
        <v>1050</v>
      </c>
      <c r="E25" s="10">
        <f t="shared" si="0"/>
        <v>8400</v>
      </c>
      <c r="F25" s="5">
        <v>46091</v>
      </c>
      <c r="G25" t="str">
        <f t="shared" ca="1" si="2"/>
        <v>Paid</v>
      </c>
      <c r="H25" t="str">
        <f>INDEX(Sites_Master!$E:$E,MATCH(C25,Sites_Master!$A:$A,0))</f>
        <v>Torrent Power</v>
      </c>
      <c r="I25">
        <f>SUMIFS(Payments!$D:$D,Payments!$B:$B,A25)</f>
        <v>8400</v>
      </c>
      <c r="J25" s="10">
        <f t="shared" si="1"/>
        <v>0</v>
      </c>
    </row>
    <row r="26" spans="1:10" x14ac:dyDescent="0.3">
      <c r="A26" t="s">
        <v>119</v>
      </c>
      <c r="B26" t="s">
        <v>72</v>
      </c>
      <c r="C26" t="s">
        <v>49</v>
      </c>
      <c r="D26">
        <f>INDEX(Meter_Readings!$F:$F,MATCH(B26&amp;C26,Meter_Readings!$E:$E,0))</f>
        <v>900</v>
      </c>
      <c r="E26" s="10">
        <f t="shared" si="0"/>
        <v>7200</v>
      </c>
      <c r="F26" s="5">
        <v>46091</v>
      </c>
      <c r="G26" t="str">
        <f t="shared" ca="1" si="2"/>
        <v>Overdue</v>
      </c>
      <c r="H26" t="str">
        <f>INDEX(Sites_Master!$E:$E,MATCH(C26,Sites_Master!$A:$A,0))</f>
        <v>CESC Limited</v>
      </c>
      <c r="I26">
        <f>SUMIFS(Payments!$D:$D,Payments!$B:$B,A26)</f>
        <v>0</v>
      </c>
      <c r="J26" s="10">
        <f t="shared" si="1"/>
        <v>7200</v>
      </c>
    </row>
    <row r="27" spans="1:10" x14ac:dyDescent="0.3">
      <c r="A27" t="s">
        <v>120</v>
      </c>
      <c r="B27" t="s">
        <v>72</v>
      </c>
      <c r="C27" t="s">
        <v>52</v>
      </c>
      <c r="D27">
        <f>INDEX(Meter_Readings!$F:$F,MATCH(B27&amp;C27,Meter_Readings!$E:$E,0))</f>
        <v>900</v>
      </c>
      <c r="E27" s="10">
        <f t="shared" si="0"/>
        <v>7200</v>
      </c>
      <c r="F27" s="5">
        <v>46091</v>
      </c>
      <c r="G27" t="str">
        <f t="shared" ca="1" si="2"/>
        <v>Overdue</v>
      </c>
      <c r="H27" t="str">
        <f>INDEX(Sites_Master!$E:$E,MATCH(C27,Sites_Master!$A:$A,0))</f>
        <v>Reliance Energy</v>
      </c>
      <c r="I27">
        <f>SUMIFS(Payments!$D:$D,Payments!$B:$B,A27)</f>
        <v>6400</v>
      </c>
      <c r="J27" s="10">
        <f t="shared" si="1"/>
        <v>800</v>
      </c>
    </row>
    <row r="28" spans="1:10" x14ac:dyDescent="0.3">
      <c r="A28" t="s">
        <v>121</v>
      </c>
      <c r="B28" t="s">
        <v>72</v>
      </c>
      <c r="C28" t="s">
        <v>55</v>
      </c>
      <c r="D28">
        <f>INDEX(Meter_Readings!$F:$F,MATCH(B28&amp;C28,Meter_Readings!$E:$E,0))</f>
        <v>880</v>
      </c>
      <c r="E28" s="10">
        <f t="shared" si="0"/>
        <v>7040</v>
      </c>
      <c r="F28" s="5">
        <v>46091</v>
      </c>
      <c r="G28" t="str">
        <f t="shared" ca="1" si="2"/>
        <v>Overdue</v>
      </c>
      <c r="H28" t="str">
        <f>INDEX(Sites_Master!$E:$E,MATCH(C28,Sites_Master!$A:$A,0))</f>
        <v>NTPC Utility</v>
      </c>
      <c r="I28">
        <f>SUMIFS(Payments!$D:$D,Payments!$B:$B,A28)</f>
        <v>0</v>
      </c>
      <c r="J28" s="10">
        <f t="shared" si="1"/>
        <v>7040</v>
      </c>
    </row>
    <row r="29" spans="1:10" x14ac:dyDescent="0.3">
      <c r="A29" t="s">
        <v>122</v>
      </c>
      <c r="B29" t="s">
        <v>72</v>
      </c>
      <c r="C29" t="s">
        <v>58</v>
      </c>
      <c r="D29">
        <f>INDEX(Meter_Readings!$F:$F,MATCH(B29&amp;C29,Meter_Readings!$E:$E,0))</f>
        <v>950</v>
      </c>
      <c r="E29" s="10">
        <f t="shared" si="0"/>
        <v>7600</v>
      </c>
      <c r="F29" s="5">
        <v>46091</v>
      </c>
      <c r="G29" t="str">
        <f t="shared" ca="1" si="2"/>
        <v>Paid</v>
      </c>
      <c r="H29" t="str">
        <f>INDEX(Sites_Master!$E:$E,MATCH(C29,Sites_Master!$A:$A,0))</f>
        <v>Green Energy Corp</v>
      </c>
      <c r="I29">
        <f>SUMIFS(Payments!$D:$D,Payments!$B:$B,A29)</f>
        <v>7600</v>
      </c>
      <c r="J29" s="10">
        <f t="shared" si="1"/>
        <v>0</v>
      </c>
    </row>
    <row r="30" spans="1:10" x14ac:dyDescent="0.3">
      <c r="A30" t="s">
        <v>123</v>
      </c>
      <c r="B30" t="s">
        <v>72</v>
      </c>
      <c r="C30" t="s">
        <v>61</v>
      </c>
      <c r="D30">
        <f>INDEX(Meter_Readings!$F:$F,MATCH(B30&amp;C30,Meter_Readings!$E:$E,0))</f>
        <v>950</v>
      </c>
      <c r="E30" s="10">
        <f t="shared" si="0"/>
        <v>7600</v>
      </c>
      <c r="F30" s="5">
        <v>46091</v>
      </c>
      <c r="G30" t="str">
        <f t="shared" ca="1" si="2"/>
        <v>Overdue</v>
      </c>
      <c r="H30" t="str">
        <f>INDEX(Sites_Master!$E:$E,MATCH(C30,Sites_Master!$A:$A,0))</f>
        <v>State Power Board</v>
      </c>
      <c r="I30">
        <f>SUMIFS(Payments!$D:$D,Payments!$B:$B,A30)</f>
        <v>0</v>
      </c>
      <c r="J30" s="10">
        <f t="shared" si="1"/>
        <v>7600</v>
      </c>
    </row>
    <row r="31" spans="1:10" x14ac:dyDescent="0.3">
      <c r="A31" t="s">
        <v>124</v>
      </c>
      <c r="B31" t="s">
        <v>72</v>
      </c>
      <c r="C31" t="s">
        <v>64</v>
      </c>
      <c r="D31">
        <f>INDEX(Meter_Readings!$F:$F,MATCH(B31&amp;C31,Meter_Readings!$E:$E,0))</f>
        <v>880</v>
      </c>
      <c r="E31" s="10">
        <f t="shared" si="0"/>
        <v>7040</v>
      </c>
      <c r="F31" s="5">
        <v>46091</v>
      </c>
      <c r="G31" t="str">
        <f t="shared" ca="1" si="2"/>
        <v>Paid</v>
      </c>
      <c r="H31" t="str">
        <f>INDEX(Sites_Master!$E:$E,MATCH(C31,Sites_Master!$A:$A,0))</f>
        <v>Metro Electric</v>
      </c>
      <c r="I31">
        <f>SUMIFS(Payments!$D:$D,Payments!$B:$B,A31)</f>
        <v>7600</v>
      </c>
      <c r="J31" s="10">
        <f t="shared" si="1"/>
        <v>-560</v>
      </c>
    </row>
    <row r="32" spans="1:10" x14ac:dyDescent="0.3">
      <c r="A32" t="s">
        <v>125</v>
      </c>
      <c r="B32" t="s">
        <v>73</v>
      </c>
      <c r="C32" t="s">
        <v>37</v>
      </c>
      <c r="D32">
        <f>INDEX(Meter_Readings!$F:$F,MATCH(B32&amp;C32,Meter_Readings!$E:$E,0))</f>
        <v>750</v>
      </c>
      <c r="E32" s="10">
        <f t="shared" si="0"/>
        <v>6000</v>
      </c>
      <c r="F32" s="5">
        <v>46122</v>
      </c>
      <c r="G32" t="str">
        <f t="shared" ca="1" si="2"/>
        <v>Paid</v>
      </c>
      <c r="H32" t="str">
        <f>INDEX(Sites_Master!$E:$E,MATCH(C32,Sites_Master!$A:$A,0))</f>
        <v>Tata Power</v>
      </c>
      <c r="I32">
        <f>SUMIFS(Payments!$D:$D,Payments!$B:$B,A32)</f>
        <v>7200</v>
      </c>
      <c r="J32" s="10">
        <f t="shared" si="1"/>
        <v>-1200</v>
      </c>
    </row>
    <row r="33" spans="1:10" x14ac:dyDescent="0.3">
      <c r="A33" t="s">
        <v>126</v>
      </c>
      <c r="B33" t="s">
        <v>73</v>
      </c>
      <c r="C33" t="s">
        <v>40</v>
      </c>
      <c r="D33">
        <f>INDEX(Meter_Readings!$F:$F,MATCH(B33&amp;C33,Meter_Readings!$E:$E,0))</f>
        <v>930</v>
      </c>
      <c r="E33" s="10">
        <f t="shared" si="0"/>
        <v>7440</v>
      </c>
      <c r="F33" s="5">
        <v>46122</v>
      </c>
      <c r="G33" t="str">
        <f t="shared" ca="1" si="2"/>
        <v>Overdue</v>
      </c>
      <c r="H33" t="str">
        <f>INDEX(Sites_Master!$E:$E,MATCH(C33,Sites_Master!$A:$A,0))</f>
        <v>Adani Electricity</v>
      </c>
      <c r="I33">
        <f>SUMIFS(Payments!$D:$D,Payments!$B:$B,A33)</f>
        <v>0</v>
      </c>
      <c r="J33" s="10">
        <f t="shared" si="1"/>
        <v>7440</v>
      </c>
    </row>
    <row r="34" spans="1:10" x14ac:dyDescent="0.3">
      <c r="A34" t="s">
        <v>127</v>
      </c>
      <c r="B34" t="s">
        <v>73</v>
      </c>
      <c r="C34" t="s">
        <v>43</v>
      </c>
      <c r="D34">
        <f>INDEX(Meter_Readings!$F:$F,MATCH(B34&amp;C34,Meter_Readings!$E:$E,0))</f>
        <v>750</v>
      </c>
      <c r="E34" s="10">
        <f t="shared" si="0"/>
        <v>6000</v>
      </c>
      <c r="F34" s="5">
        <v>46122</v>
      </c>
      <c r="G34" t="str">
        <f t="shared" ca="1" si="2"/>
        <v>Overdue</v>
      </c>
      <c r="H34" t="str">
        <f>INDEX(Sites_Master!$E:$E,MATCH(C34,Sites_Master!$A:$A,0))</f>
        <v>BSES Rajdhani</v>
      </c>
      <c r="I34">
        <f>SUMIFS(Payments!$D:$D,Payments!$B:$B,A34)</f>
        <v>5600</v>
      </c>
      <c r="J34" s="10">
        <f t="shared" si="1"/>
        <v>400</v>
      </c>
    </row>
    <row r="35" spans="1:10" x14ac:dyDescent="0.3">
      <c r="A35" t="s">
        <v>128</v>
      </c>
      <c r="B35" t="s">
        <v>73</v>
      </c>
      <c r="C35" t="s">
        <v>46</v>
      </c>
      <c r="D35">
        <f>INDEX(Meter_Readings!$F:$F,MATCH(B35&amp;C35,Meter_Readings!$E:$E,0))</f>
        <v>1100</v>
      </c>
      <c r="E35" s="10">
        <f t="shared" si="0"/>
        <v>8800</v>
      </c>
      <c r="F35" s="5">
        <v>46122</v>
      </c>
      <c r="G35" t="str">
        <f t="shared" ca="1" si="2"/>
        <v>Overdue</v>
      </c>
      <c r="H35" t="str">
        <f>INDEX(Sites_Master!$E:$E,MATCH(C35,Sites_Master!$A:$A,0))</f>
        <v>Torrent Power</v>
      </c>
      <c r="I35">
        <f>SUMIFS(Payments!$D:$D,Payments!$B:$B,A35)</f>
        <v>0</v>
      </c>
      <c r="J35" s="10">
        <f t="shared" si="1"/>
        <v>8800</v>
      </c>
    </row>
    <row r="36" spans="1:10" x14ac:dyDescent="0.3">
      <c r="A36" t="s">
        <v>129</v>
      </c>
      <c r="B36" t="s">
        <v>73</v>
      </c>
      <c r="C36" t="s">
        <v>49</v>
      </c>
      <c r="D36">
        <f>INDEX(Meter_Readings!$F:$F,MATCH(B36&amp;C36,Meter_Readings!$E:$E,0))</f>
        <v>930</v>
      </c>
      <c r="E36" s="10">
        <f t="shared" si="0"/>
        <v>7440</v>
      </c>
      <c r="F36" s="5">
        <v>46122</v>
      </c>
      <c r="G36" t="str">
        <f t="shared" ca="1" si="2"/>
        <v>Overdue</v>
      </c>
      <c r="H36" t="str">
        <f>INDEX(Sites_Master!$E:$E,MATCH(C36,Sites_Master!$A:$A,0))</f>
        <v>CESC Limited</v>
      </c>
      <c r="I36">
        <f>SUMIFS(Payments!$D:$D,Payments!$B:$B,A36)</f>
        <v>6400</v>
      </c>
      <c r="J36" s="10">
        <f t="shared" si="1"/>
        <v>1040</v>
      </c>
    </row>
    <row r="37" spans="1:10" x14ac:dyDescent="0.3">
      <c r="A37" t="s">
        <v>130</v>
      </c>
      <c r="B37" t="s">
        <v>73</v>
      </c>
      <c r="C37" t="s">
        <v>52</v>
      </c>
      <c r="D37">
        <f>INDEX(Meter_Readings!$F:$F,MATCH(B37&amp;C37,Meter_Readings!$E:$E,0))</f>
        <v>920</v>
      </c>
      <c r="E37" s="10">
        <f t="shared" si="0"/>
        <v>7360</v>
      </c>
      <c r="F37" s="5">
        <v>46122</v>
      </c>
      <c r="G37" t="str">
        <f t="shared" ca="1" si="2"/>
        <v>Overdue</v>
      </c>
      <c r="H37" t="str">
        <f>INDEX(Sites_Master!$E:$E,MATCH(C37,Sites_Master!$A:$A,0))</f>
        <v>Reliance Energy</v>
      </c>
      <c r="I37">
        <f>SUMIFS(Payments!$D:$D,Payments!$B:$B,A37)</f>
        <v>0</v>
      </c>
      <c r="J37" s="10">
        <f t="shared" si="1"/>
        <v>7360</v>
      </c>
    </row>
    <row r="38" spans="1:10" x14ac:dyDescent="0.3">
      <c r="A38" t="s">
        <v>131</v>
      </c>
      <c r="B38" t="s">
        <v>73</v>
      </c>
      <c r="C38" t="s">
        <v>55</v>
      </c>
      <c r="D38">
        <f>INDEX(Meter_Readings!$F:$F,MATCH(B38&amp;C38,Meter_Readings!$E:$E,0))</f>
        <v>950</v>
      </c>
      <c r="E38" s="10">
        <f t="shared" si="0"/>
        <v>7600</v>
      </c>
      <c r="F38" s="5">
        <v>46122</v>
      </c>
      <c r="G38" t="str">
        <f t="shared" ca="1" si="2"/>
        <v>Paid</v>
      </c>
      <c r="H38" t="str">
        <f>INDEX(Sites_Master!$E:$E,MATCH(C38,Sites_Master!$A:$A,0))</f>
        <v>NTPC Utility</v>
      </c>
      <c r="I38">
        <f>SUMIFS(Payments!$D:$D,Payments!$B:$B,A38)</f>
        <v>7600</v>
      </c>
      <c r="J38" s="10">
        <f t="shared" si="1"/>
        <v>0</v>
      </c>
    </row>
    <row r="39" spans="1:10" x14ac:dyDescent="0.3">
      <c r="A39" t="s">
        <v>132</v>
      </c>
      <c r="B39" t="s">
        <v>73</v>
      </c>
      <c r="C39" t="s">
        <v>58</v>
      </c>
      <c r="D39">
        <f>INDEX(Meter_Readings!$F:$F,MATCH(B39&amp;C39,Meter_Readings!$E:$E,0))</f>
        <v>970</v>
      </c>
      <c r="E39" s="10">
        <f t="shared" si="0"/>
        <v>7760</v>
      </c>
      <c r="F39" s="5">
        <v>46122</v>
      </c>
      <c r="G39" t="str">
        <f t="shared" ca="1" si="2"/>
        <v>Overdue</v>
      </c>
      <c r="H39" t="str">
        <f>INDEX(Sites_Master!$E:$E,MATCH(C39,Sites_Master!$A:$A,0))</f>
        <v>Green Energy Corp</v>
      </c>
      <c r="I39">
        <f>SUMIFS(Payments!$D:$D,Payments!$B:$B,A39)</f>
        <v>0</v>
      </c>
      <c r="J39" s="10">
        <f t="shared" si="1"/>
        <v>7760</v>
      </c>
    </row>
    <row r="40" spans="1:10" x14ac:dyDescent="0.3">
      <c r="A40" t="s">
        <v>133</v>
      </c>
      <c r="B40" t="s">
        <v>73</v>
      </c>
      <c r="C40" t="s">
        <v>61</v>
      </c>
      <c r="D40">
        <f>INDEX(Meter_Readings!$F:$F,MATCH(B40&amp;C40,Meter_Readings!$E:$E,0))</f>
        <v>900</v>
      </c>
      <c r="E40" s="10">
        <f t="shared" si="0"/>
        <v>7200</v>
      </c>
      <c r="F40" s="5">
        <v>46122</v>
      </c>
      <c r="G40" t="str">
        <f t="shared" ca="1" si="2"/>
        <v>Paid</v>
      </c>
      <c r="H40" t="str">
        <f>INDEX(Sites_Master!$E:$E,MATCH(C40,Sites_Master!$A:$A,0))</f>
        <v>State Power Board</v>
      </c>
      <c r="I40">
        <f>SUMIFS(Payments!$D:$D,Payments!$B:$B,A40)</f>
        <v>7600</v>
      </c>
      <c r="J40" s="10">
        <f t="shared" si="1"/>
        <v>-400</v>
      </c>
    </row>
    <row r="41" spans="1:10" x14ac:dyDescent="0.3">
      <c r="A41" t="s">
        <v>134</v>
      </c>
      <c r="B41" t="s">
        <v>73</v>
      </c>
      <c r="C41" t="s">
        <v>64</v>
      </c>
      <c r="D41">
        <f>INDEX(Meter_Readings!$F:$F,MATCH(B41&amp;C41,Meter_Readings!$E:$E,0))</f>
        <v>920</v>
      </c>
      <c r="E41" s="10">
        <f t="shared" si="0"/>
        <v>7360</v>
      </c>
      <c r="F41" s="5">
        <v>46122</v>
      </c>
      <c r="G41" t="str">
        <f t="shared" ca="1" si="2"/>
        <v>Overdue</v>
      </c>
      <c r="H41" t="str">
        <f>INDEX(Sites_Master!$E:$E,MATCH(C41,Sites_Master!$A:$A,0))</f>
        <v>Metro Electric</v>
      </c>
      <c r="I41">
        <f>SUMIFS(Payments!$D:$D,Payments!$B:$B,A41)</f>
        <v>0</v>
      </c>
      <c r="J41" s="10">
        <f t="shared" si="1"/>
        <v>7360</v>
      </c>
    </row>
    <row r="42" spans="1:10" x14ac:dyDescent="0.3">
      <c r="A42" t="s">
        <v>135</v>
      </c>
      <c r="B42" t="s">
        <v>74</v>
      </c>
      <c r="C42" t="s">
        <v>37</v>
      </c>
      <c r="D42">
        <f>INDEX(Meter_Readings!$F:$F,MATCH(B42&amp;C42,Meter_Readings!$E:$E,0))</f>
        <v>900</v>
      </c>
      <c r="E42" s="10">
        <f t="shared" si="0"/>
        <v>7200</v>
      </c>
      <c r="F42" s="5">
        <v>46152</v>
      </c>
      <c r="G42" t="str">
        <f t="shared" ca="1" si="2"/>
        <v>Paid</v>
      </c>
      <c r="H42" t="str">
        <f>INDEX(Sites_Master!$E:$E,MATCH(C42,Sites_Master!$A:$A,0))</f>
        <v>Tata Power</v>
      </c>
      <c r="I42">
        <f>SUMIFS(Payments!$D:$D,Payments!$B:$B,A42)</f>
        <v>7200</v>
      </c>
      <c r="J42" s="10">
        <f t="shared" si="1"/>
        <v>0</v>
      </c>
    </row>
    <row r="43" spans="1:10" x14ac:dyDescent="0.3">
      <c r="A43" t="s">
        <v>136</v>
      </c>
      <c r="B43" t="s">
        <v>74</v>
      </c>
      <c r="C43" t="s">
        <v>40</v>
      </c>
      <c r="D43">
        <f>INDEX(Meter_Readings!$F:$F,MATCH(B43&amp;C43,Meter_Readings!$E:$E,0))</f>
        <v>950</v>
      </c>
      <c r="E43" s="10">
        <f t="shared" si="0"/>
        <v>7600</v>
      </c>
      <c r="F43" s="5">
        <v>46152</v>
      </c>
      <c r="G43" t="str">
        <f t="shared" ca="1" si="2"/>
        <v>Overdue</v>
      </c>
      <c r="H43" t="str">
        <f>INDEX(Sites_Master!$E:$E,MATCH(C43,Sites_Master!$A:$A,0))</f>
        <v>Adani Electricity</v>
      </c>
      <c r="I43">
        <f>SUMIFS(Payments!$D:$D,Payments!$B:$B,A43)</f>
        <v>0</v>
      </c>
      <c r="J43" s="10">
        <f t="shared" si="1"/>
        <v>7600</v>
      </c>
    </row>
    <row r="44" spans="1:10" x14ac:dyDescent="0.3">
      <c r="A44" t="s">
        <v>137</v>
      </c>
      <c r="B44" t="s">
        <v>74</v>
      </c>
      <c r="C44" t="s">
        <v>43</v>
      </c>
      <c r="D44">
        <f>INDEX(Meter_Readings!$F:$F,MATCH(B44&amp;C44,Meter_Readings!$E:$E,0))</f>
        <v>850</v>
      </c>
      <c r="E44" s="10">
        <f t="shared" si="0"/>
        <v>6800</v>
      </c>
      <c r="F44" s="5">
        <v>46152</v>
      </c>
      <c r="G44" t="str">
        <f t="shared" ca="1" si="2"/>
        <v>Overdue</v>
      </c>
      <c r="H44" t="str">
        <f>INDEX(Sites_Master!$E:$E,MATCH(C44,Sites_Master!$A:$A,0))</f>
        <v>BSES Rajdhani</v>
      </c>
      <c r="I44">
        <f>SUMIFS(Payments!$D:$D,Payments!$B:$B,A44)</f>
        <v>5600</v>
      </c>
      <c r="J44" s="10">
        <f t="shared" si="1"/>
        <v>1200</v>
      </c>
    </row>
    <row r="45" spans="1:10" x14ac:dyDescent="0.3">
      <c r="A45" t="s">
        <v>138</v>
      </c>
      <c r="B45" t="s">
        <v>74</v>
      </c>
      <c r="C45" t="s">
        <v>46</v>
      </c>
      <c r="D45">
        <f>INDEX(Meter_Readings!$F:$F,MATCH(B45&amp;C45,Meter_Readings!$E:$E,0))</f>
        <v>1250</v>
      </c>
      <c r="E45" s="10">
        <f t="shared" si="0"/>
        <v>10000</v>
      </c>
      <c r="F45" s="5">
        <v>46152</v>
      </c>
      <c r="G45" t="str">
        <f t="shared" ca="1" si="2"/>
        <v>Overdue</v>
      </c>
      <c r="H45" t="str">
        <f>INDEX(Sites_Master!$E:$E,MATCH(C45,Sites_Master!$A:$A,0))</f>
        <v>Torrent Power</v>
      </c>
      <c r="I45">
        <f>SUMIFS(Payments!$D:$D,Payments!$B:$B,A45)</f>
        <v>8400</v>
      </c>
      <c r="J45" s="10">
        <f t="shared" si="1"/>
        <v>1600</v>
      </c>
    </row>
    <row r="46" spans="1:10" x14ac:dyDescent="0.3">
      <c r="A46" t="s">
        <v>139</v>
      </c>
      <c r="B46" t="s">
        <v>74</v>
      </c>
      <c r="C46" t="s">
        <v>49</v>
      </c>
      <c r="D46">
        <f>INDEX(Meter_Readings!$F:$F,MATCH(B46&amp;C46,Meter_Readings!$E:$E,0))</f>
        <v>920</v>
      </c>
      <c r="E46" s="10">
        <f t="shared" si="0"/>
        <v>7360</v>
      </c>
      <c r="F46" s="5">
        <v>46152</v>
      </c>
      <c r="G46" t="str">
        <f t="shared" ca="1" si="2"/>
        <v>Overdue</v>
      </c>
      <c r="H46" t="str">
        <f>INDEX(Sites_Master!$E:$E,MATCH(C46,Sites_Master!$A:$A,0))</f>
        <v>CESC Limited</v>
      </c>
      <c r="I46">
        <f>SUMIFS(Payments!$D:$D,Payments!$B:$B,A46)</f>
        <v>0</v>
      </c>
      <c r="J46" s="10">
        <f t="shared" si="1"/>
        <v>7360</v>
      </c>
    </row>
    <row r="47" spans="1:10" x14ac:dyDescent="0.3">
      <c r="A47" t="s">
        <v>140</v>
      </c>
      <c r="B47" t="s">
        <v>74</v>
      </c>
      <c r="C47" t="s">
        <v>52</v>
      </c>
      <c r="D47">
        <f>INDEX(Meter_Readings!$F:$F,MATCH(B47&amp;C47,Meter_Readings!$E:$E,0))</f>
        <v>980</v>
      </c>
      <c r="E47" s="10">
        <f t="shared" si="0"/>
        <v>7840</v>
      </c>
      <c r="F47" s="5">
        <v>46152</v>
      </c>
      <c r="G47" t="str">
        <f t="shared" ca="1" si="2"/>
        <v>Overdue</v>
      </c>
      <c r="H47" t="str">
        <f>INDEX(Sites_Master!$E:$E,MATCH(C47,Sites_Master!$A:$A,0))</f>
        <v>Reliance Energy</v>
      </c>
      <c r="I47">
        <f>SUMIFS(Payments!$D:$D,Payments!$B:$B,A47)</f>
        <v>6400</v>
      </c>
      <c r="J47" s="10">
        <f t="shared" si="1"/>
        <v>1440</v>
      </c>
    </row>
    <row r="48" spans="1:10" x14ac:dyDescent="0.3">
      <c r="A48" t="s">
        <v>141</v>
      </c>
      <c r="B48" t="s">
        <v>74</v>
      </c>
      <c r="C48" t="s">
        <v>55</v>
      </c>
      <c r="D48">
        <f>INDEX(Meter_Readings!$F:$F,MATCH(B48&amp;C48,Meter_Readings!$E:$E,0))</f>
        <v>970</v>
      </c>
      <c r="E48" s="10">
        <f t="shared" si="0"/>
        <v>7760</v>
      </c>
      <c r="F48" s="5">
        <v>46152</v>
      </c>
      <c r="G48" t="str">
        <f t="shared" ca="1" si="2"/>
        <v>Overdue</v>
      </c>
      <c r="H48" t="str">
        <f>INDEX(Sites_Master!$E:$E,MATCH(C48,Sites_Master!$A:$A,0))</f>
        <v>NTPC Utility</v>
      </c>
      <c r="I48">
        <f>SUMIFS(Payments!$D:$D,Payments!$B:$B,A48)</f>
        <v>0</v>
      </c>
      <c r="J48" s="10">
        <f t="shared" si="1"/>
        <v>7760</v>
      </c>
    </row>
    <row r="49" spans="1:10" x14ac:dyDescent="0.3">
      <c r="A49" t="s">
        <v>142</v>
      </c>
      <c r="B49" t="s">
        <v>74</v>
      </c>
      <c r="C49" t="s">
        <v>58</v>
      </c>
      <c r="D49">
        <f>INDEX(Meter_Readings!$F:$F,MATCH(B49&amp;C49,Meter_Readings!$E:$E,0))</f>
        <v>1030</v>
      </c>
      <c r="E49" s="10">
        <f t="shared" si="0"/>
        <v>8240</v>
      </c>
      <c r="F49" s="5">
        <v>46152</v>
      </c>
      <c r="G49" t="str">
        <f t="shared" ca="1" si="2"/>
        <v>Overdue</v>
      </c>
      <c r="H49" t="str">
        <f>INDEX(Sites_Master!$E:$E,MATCH(C49,Sites_Master!$A:$A,0))</f>
        <v>Green Energy Corp</v>
      </c>
      <c r="I49">
        <f>SUMIFS(Payments!$D:$D,Payments!$B:$B,A49)</f>
        <v>7600</v>
      </c>
      <c r="J49" s="10">
        <f t="shared" si="1"/>
        <v>640</v>
      </c>
    </row>
    <row r="50" spans="1:10" x14ac:dyDescent="0.3">
      <c r="A50" t="s">
        <v>143</v>
      </c>
      <c r="B50" t="s">
        <v>74</v>
      </c>
      <c r="C50" t="s">
        <v>61</v>
      </c>
      <c r="D50">
        <f>INDEX(Meter_Readings!$F:$F,MATCH(B50&amp;C50,Meter_Readings!$E:$E,0))</f>
        <v>1000</v>
      </c>
      <c r="E50" s="10">
        <f t="shared" si="0"/>
        <v>8000</v>
      </c>
      <c r="F50" s="5">
        <v>46152</v>
      </c>
      <c r="G50" t="str">
        <f t="shared" ca="1" si="2"/>
        <v>Overdue</v>
      </c>
      <c r="H50" t="str">
        <f>INDEX(Sites_Master!$E:$E,MATCH(C50,Sites_Master!$A:$A,0))</f>
        <v>State Power Board</v>
      </c>
      <c r="I50">
        <f>SUMIFS(Payments!$D:$D,Payments!$B:$B,A50)</f>
        <v>0</v>
      </c>
      <c r="J50" s="10">
        <f t="shared" si="1"/>
        <v>8000</v>
      </c>
    </row>
    <row r="51" spans="1:10" x14ac:dyDescent="0.3">
      <c r="A51" t="s">
        <v>144</v>
      </c>
      <c r="B51" t="s">
        <v>74</v>
      </c>
      <c r="C51" t="s">
        <v>64</v>
      </c>
      <c r="D51">
        <f>INDEX(Meter_Readings!$F:$F,MATCH(B51&amp;C51,Meter_Readings!$E:$E,0))</f>
        <v>1030</v>
      </c>
      <c r="E51" s="10">
        <f t="shared" si="0"/>
        <v>8240</v>
      </c>
      <c r="F51" s="5">
        <v>46152</v>
      </c>
      <c r="G51" t="str">
        <f t="shared" ca="1" si="2"/>
        <v>Overdue</v>
      </c>
      <c r="H51" t="str">
        <f>INDEX(Sites_Master!$E:$E,MATCH(C51,Sites_Master!$A:$A,0))</f>
        <v>Metro Electric</v>
      </c>
      <c r="I51">
        <f>SUMIFS(Payments!$D:$D,Payments!$B:$B,A51)</f>
        <v>7600</v>
      </c>
      <c r="J51" s="10">
        <f t="shared" si="1"/>
        <v>640</v>
      </c>
    </row>
    <row r="52" spans="1:10" x14ac:dyDescent="0.3">
      <c r="A52" t="s">
        <v>145</v>
      </c>
      <c r="B52" t="s">
        <v>75</v>
      </c>
      <c r="C52" t="s">
        <v>37</v>
      </c>
      <c r="D52">
        <f>INDEX(Meter_Readings!$F:$F,MATCH(B52&amp;C52,Meter_Readings!$E:$E,0))</f>
        <v>900</v>
      </c>
      <c r="E52" s="10">
        <f t="shared" si="0"/>
        <v>7200</v>
      </c>
      <c r="F52" s="5">
        <v>46183</v>
      </c>
      <c r="G52" t="str">
        <f t="shared" ca="1" si="2"/>
        <v>Pending</v>
      </c>
      <c r="H52" t="str">
        <f>INDEX(Sites_Master!$E:$E,MATCH(C52,Sites_Master!$A:$A,0))</f>
        <v>Tata Power</v>
      </c>
      <c r="I52">
        <f>SUMIFS(Payments!$D:$D,Payments!$B:$B,A52)</f>
        <v>0</v>
      </c>
      <c r="J52" s="10">
        <f t="shared" si="1"/>
        <v>7200</v>
      </c>
    </row>
    <row r="53" spans="1:10" x14ac:dyDescent="0.3">
      <c r="A53" t="s">
        <v>146</v>
      </c>
      <c r="B53" t="s">
        <v>75</v>
      </c>
      <c r="C53" t="s">
        <v>40</v>
      </c>
      <c r="D53">
        <f>INDEX(Meter_Readings!$F:$F,MATCH(B53&amp;C53,Meter_Readings!$E:$E,0))</f>
        <v>1050</v>
      </c>
      <c r="E53" s="10">
        <f t="shared" si="0"/>
        <v>8400</v>
      </c>
      <c r="F53" s="5">
        <v>46183</v>
      </c>
      <c r="G53" t="str">
        <f t="shared" ca="1" si="2"/>
        <v>Pending</v>
      </c>
      <c r="H53" t="str">
        <f>INDEX(Sites_Master!$E:$E,MATCH(C53,Sites_Master!$A:$A,0))</f>
        <v>Adani Electricity</v>
      </c>
      <c r="I53">
        <f>SUMIFS(Payments!$D:$D,Payments!$B:$B,A53)</f>
        <v>7600</v>
      </c>
      <c r="J53" s="10">
        <f t="shared" si="1"/>
        <v>800</v>
      </c>
    </row>
    <row r="54" spans="1:10" x14ac:dyDescent="0.3">
      <c r="A54" t="s">
        <v>147</v>
      </c>
      <c r="B54" t="s">
        <v>75</v>
      </c>
      <c r="C54" t="s">
        <v>43</v>
      </c>
      <c r="D54">
        <f>INDEX(Meter_Readings!$F:$F,MATCH(B54&amp;C54,Meter_Readings!$E:$E,0))</f>
        <v>950</v>
      </c>
      <c r="E54" s="10">
        <f t="shared" si="0"/>
        <v>7600</v>
      </c>
      <c r="F54" s="5">
        <v>46183</v>
      </c>
      <c r="G54" t="str">
        <f t="shared" ca="1" si="2"/>
        <v>Pending</v>
      </c>
      <c r="H54" t="str">
        <f>INDEX(Sites_Master!$E:$E,MATCH(C54,Sites_Master!$A:$A,0))</f>
        <v>BSES Rajdhani</v>
      </c>
      <c r="I54">
        <f>SUMIFS(Payments!$D:$D,Payments!$B:$B,A54)</f>
        <v>0</v>
      </c>
      <c r="J54" s="10">
        <f t="shared" si="1"/>
        <v>7600</v>
      </c>
    </row>
    <row r="55" spans="1:10" x14ac:dyDescent="0.3">
      <c r="A55" t="s">
        <v>148</v>
      </c>
      <c r="B55" t="s">
        <v>75</v>
      </c>
      <c r="C55" t="s">
        <v>46</v>
      </c>
      <c r="D55">
        <f>INDEX(Meter_Readings!$F:$F,MATCH(B55&amp;C55,Meter_Readings!$E:$E,0))</f>
        <v>1250</v>
      </c>
      <c r="E55" s="10">
        <f t="shared" si="0"/>
        <v>10000</v>
      </c>
      <c r="F55" s="5">
        <v>46183</v>
      </c>
      <c r="G55" t="str">
        <f t="shared" ca="1" si="2"/>
        <v>Pending</v>
      </c>
      <c r="H55" t="str">
        <f>INDEX(Sites_Master!$E:$E,MATCH(C55,Sites_Master!$A:$A,0))</f>
        <v>Torrent Power</v>
      </c>
      <c r="I55">
        <f>SUMIFS(Payments!$D:$D,Payments!$B:$B,A55)</f>
        <v>8400</v>
      </c>
      <c r="J55" s="10">
        <f t="shared" si="1"/>
        <v>1600</v>
      </c>
    </row>
    <row r="56" spans="1:10" x14ac:dyDescent="0.3">
      <c r="A56" t="s">
        <v>149</v>
      </c>
      <c r="B56" t="s">
        <v>75</v>
      </c>
      <c r="C56" t="s">
        <v>49</v>
      </c>
      <c r="D56">
        <f>INDEX(Meter_Readings!$F:$F,MATCH(B56&amp;C56,Meter_Readings!$E:$E,0))</f>
        <v>920</v>
      </c>
      <c r="E56" s="10">
        <f t="shared" si="0"/>
        <v>7360</v>
      </c>
      <c r="F56" s="5">
        <v>46183</v>
      </c>
      <c r="G56" t="str">
        <f t="shared" ca="1" si="2"/>
        <v>Pending</v>
      </c>
      <c r="H56" t="str">
        <f>INDEX(Sites_Master!$E:$E,MATCH(C56,Sites_Master!$A:$A,0))</f>
        <v>CESC Limited</v>
      </c>
      <c r="I56">
        <f>SUMIFS(Payments!$D:$D,Payments!$B:$B,A56)</f>
        <v>0</v>
      </c>
      <c r="J56" s="10">
        <f t="shared" si="1"/>
        <v>7360</v>
      </c>
    </row>
    <row r="57" spans="1:10" x14ac:dyDescent="0.3">
      <c r="A57" t="s">
        <v>150</v>
      </c>
      <c r="B57" t="s">
        <v>75</v>
      </c>
      <c r="C57" t="s">
        <v>52</v>
      </c>
      <c r="D57">
        <f>INDEX(Meter_Readings!$F:$F,MATCH(B57&amp;C57,Meter_Readings!$E:$E,0))</f>
        <v>1050</v>
      </c>
      <c r="E57" s="10">
        <f t="shared" ref="E57:E61" si="3">D57*8</f>
        <v>8400</v>
      </c>
      <c r="F57" s="5">
        <v>46183</v>
      </c>
      <c r="G57" t="str">
        <f t="shared" ca="1" si="2"/>
        <v>Pending</v>
      </c>
      <c r="H57" t="str">
        <f>INDEX(Sites_Master!$E:$E,MATCH(C57,Sites_Master!$A:$A,0))</f>
        <v>Reliance Energy</v>
      </c>
      <c r="I57">
        <f>SUMIFS(Payments!$D:$D,Payments!$B:$B,A57)</f>
        <v>6400</v>
      </c>
      <c r="J57" s="10">
        <f t="shared" ref="J57:J61" si="4">E57-I57</f>
        <v>2000</v>
      </c>
    </row>
    <row r="58" spans="1:10" x14ac:dyDescent="0.3">
      <c r="A58" t="s">
        <v>151</v>
      </c>
      <c r="B58" t="s">
        <v>75</v>
      </c>
      <c r="C58" t="s">
        <v>55</v>
      </c>
      <c r="D58">
        <f>INDEX(Meter_Readings!$F:$F,MATCH(B58&amp;C58,Meter_Readings!$E:$E,0))</f>
        <v>1030</v>
      </c>
      <c r="E58" s="10">
        <f t="shared" si="3"/>
        <v>8240</v>
      </c>
      <c r="F58" s="5">
        <v>46183</v>
      </c>
      <c r="G58" t="str">
        <f t="shared" ca="1" si="2"/>
        <v>Pending</v>
      </c>
      <c r="H58" t="str">
        <f>INDEX(Sites_Master!$E:$E,MATCH(C58,Sites_Master!$A:$A,0))</f>
        <v>NTPC Utility</v>
      </c>
      <c r="I58">
        <f>SUMIFS(Payments!$D:$D,Payments!$B:$B,A58)</f>
        <v>0</v>
      </c>
      <c r="J58" s="10">
        <f t="shared" si="4"/>
        <v>8240</v>
      </c>
    </row>
    <row r="59" spans="1:10" x14ac:dyDescent="0.3">
      <c r="A59" t="s">
        <v>152</v>
      </c>
      <c r="B59" t="s">
        <v>75</v>
      </c>
      <c r="C59" t="s">
        <v>58</v>
      </c>
      <c r="D59">
        <f>INDEX(Meter_Readings!$F:$F,MATCH(B59&amp;C59,Meter_Readings!$E:$E,0))</f>
        <v>1100</v>
      </c>
      <c r="E59" s="10">
        <f t="shared" si="3"/>
        <v>8800</v>
      </c>
      <c r="F59" s="5">
        <v>46183</v>
      </c>
      <c r="G59" t="str">
        <f t="shared" ca="1" si="2"/>
        <v>Pending</v>
      </c>
      <c r="H59" t="str">
        <f>INDEX(Sites_Master!$E:$E,MATCH(C59,Sites_Master!$A:$A,0))</f>
        <v>Green Energy Corp</v>
      </c>
      <c r="I59">
        <f>SUMIFS(Payments!$D:$D,Payments!$B:$B,A59)</f>
        <v>7600</v>
      </c>
      <c r="J59" s="10">
        <f t="shared" si="4"/>
        <v>1200</v>
      </c>
    </row>
    <row r="60" spans="1:10" x14ac:dyDescent="0.3">
      <c r="A60" t="s">
        <v>153</v>
      </c>
      <c r="B60" t="s">
        <v>75</v>
      </c>
      <c r="C60" t="s">
        <v>61</v>
      </c>
      <c r="D60">
        <f>INDEX(Meter_Readings!$F:$F,MATCH(B60&amp;C60,Meter_Readings!$E:$E,0))</f>
        <v>1070</v>
      </c>
      <c r="E60" s="10">
        <f t="shared" si="3"/>
        <v>8560</v>
      </c>
      <c r="F60" s="5">
        <v>46183</v>
      </c>
      <c r="G60" t="str">
        <f t="shared" ca="1" si="2"/>
        <v>Pending</v>
      </c>
      <c r="H60" t="str">
        <f>INDEX(Sites_Master!$E:$E,MATCH(C60,Sites_Master!$A:$A,0))</f>
        <v>State Power Board</v>
      </c>
      <c r="I60">
        <f>SUMIFS(Payments!$D:$D,Payments!$B:$B,A60)</f>
        <v>0</v>
      </c>
      <c r="J60" s="10">
        <f t="shared" si="4"/>
        <v>8560</v>
      </c>
    </row>
    <row r="61" spans="1:10" x14ac:dyDescent="0.3">
      <c r="A61" t="s">
        <v>154</v>
      </c>
      <c r="B61" t="s">
        <v>75</v>
      </c>
      <c r="C61" t="s">
        <v>64</v>
      </c>
      <c r="D61">
        <f>INDEX(Meter_Readings!$F:$F,MATCH(B61&amp;C61,Meter_Readings!$E:$E,0))</f>
        <v>1100</v>
      </c>
      <c r="E61" s="10">
        <f t="shared" si="3"/>
        <v>8800</v>
      </c>
      <c r="F61" s="5">
        <v>46183</v>
      </c>
      <c r="G61" t="str">
        <f t="shared" ca="1" si="2"/>
        <v>Pending</v>
      </c>
      <c r="H61" t="str">
        <f>INDEX(Sites_Master!$E:$E,MATCH(C61,Sites_Master!$A:$A,0))</f>
        <v>Metro Electric</v>
      </c>
      <c r="I61">
        <f>SUMIFS(Payments!$D:$D,Payments!$B:$B,A61)</f>
        <v>7600</v>
      </c>
      <c r="J61" s="10">
        <f t="shared" si="4"/>
        <v>1200</v>
      </c>
    </row>
  </sheetData>
  <conditionalFormatting sqref="E1:E1048576">
    <cfRule type="aboveAverage" dxfId="8" priority="5"/>
  </conditionalFormatting>
  <conditionalFormatting sqref="G2:G61">
    <cfRule type="containsText" dxfId="7" priority="1" operator="containsText" text="Paid">
      <formula>NOT(ISERROR(SEARCH("Paid",G2)))</formula>
    </cfRule>
    <cfRule type="containsText" dxfId="6" priority="2" operator="containsText" text="Pending">
      <formula>NOT(ISERROR(SEARCH("Pending",G2)))</formula>
    </cfRule>
    <cfRule type="containsText" dxfId="5" priority="3" operator="containsText" text="Pending">
      <formula>NOT(ISERROR(SEARCH("Pending",G2)))</formula>
    </cfRule>
    <cfRule type="containsText" dxfId="4" priority="4" operator="containsText" text="Paid">
      <formula>NOT(ISERROR(SEARCH("Paid",G2)))</formula>
    </cfRule>
    <cfRule type="containsText" dxfId="3" priority="6" operator="containsText" text="Paid">
      <formula>NOT(ISERROR(SEARCH("Paid",G2)))</formula>
    </cfRule>
    <cfRule type="containsText" dxfId="2" priority="7" operator="containsText" text="Overdue">
      <formula>NOT(ISERROR(SEARCH("Overdue",G2)))</formula>
    </cfRule>
    <cfRule type="containsText" dxfId="1" priority="8" operator="containsText" text="Paid">
      <formula>NOT(ISERROR(SEARCH("Paid",G2)))</formula>
    </cfRule>
    <cfRule type="containsText" dxfId="0" priority="9" operator="containsText" text="Pending">
      <formula>NOT(ISERROR(SEARCH("Pending",G2)))</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C0B9FF5-D501-40AC-A117-7190816E6CF2}">
          <x14:formula1>
            <xm:f>Lists!$A$2:$A$4</xm:f>
          </x14:formula1>
          <xm:sqref>G2:G61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1DA55-1807-4E57-9EC8-8A8914B579DB}">
  <dimension ref="A1:A4"/>
  <sheetViews>
    <sheetView workbookViewId="0">
      <selection activeCell="B8" sqref="B8"/>
    </sheetView>
  </sheetViews>
  <sheetFormatPr defaultRowHeight="14.4" x14ac:dyDescent="0.3"/>
  <cols>
    <col min="1" max="1" width="19.88671875" customWidth="1"/>
  </cols>
  <sheetData>
    <row r="1" spans="1:1" ht="28.8" x14ac:dyDescent="0.3">
      <c r="A1" s="1" t="s">
        <v>80</v>
      </c>
    </row>
    <row r="2" spans="1:1" x14ac:dyDescent="0.3">
      <c r="A2" s="2" t="s">
        <v>82</v>
      </c>
    </row>
    <row r="3" spans="1:1" x14ac:dyDescent="0.3">
      <c r="A3" s="2" t="s">
        <v>85</v>
      </c>
    </row>
    <row r="4" spans="1:1" x14ac:dyDescent="0.3">
      <c r="A4" s="2" t="s">
        <v>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8AC9-BDA5-4A54-A190-2DA6F499563F}">
  <dimension ref="A1:D34"/>
  <sheetViews>
    <sheetView workbookViewId="0">
      <selection activeCell="G11" sqref="G11"/>
    </sheetView>
  </sheetViews>
  <sheetFormatPr defaultRowHeight="14.4" x14ac:dyDescent="0.3"/>
  <cols>
    <col min="1" max="1" width="13.109375" customWidth="1"/>
    <col min="3" max="4" width="15.5546875" customWidth="1"/>
  </cols>
  <sheetData>
    <row r="1" spans="1:4" s="6" customFormat="1" x14ac:dyDescent="0.3">
      <c r="A1" s="16" t="s">
        <v>95</v>
      </c>
      <c r="B1" s="16" t="s">
        <v>76</v>
      </c>
      <c r="C1" s="16" t="s">
        <v>96</v>
      </c>
      <c r="D1" s="16" t="s">
        <v>97</v>
      </c>
    </row>
    <row r="2" spans="1:4" x14ac:dyDescent="0.3">
      <c r="A2" s="17" t="s">
        <v>98</v>
      </c>
      <c r="B2" s="17" t="s">
        <v>81</v>
      </c>
      <c r="C2" s="18">
        <v>46031</v>
      </c>
      <c r="D2" s="17">
        <v>6400</v>
      </c>
    </row>
    <row r="3" spans="1:4" x14ac:dyDescent="0.3">
      <c r="A3" s="17" t="s">
        <v>99</v>
      </c>
      <c r="B3" s="17" t="s">
        <v>83</v>
      </c>
      <c r="C3" s="18">
        <v>46030</v>
      </c>
      <c r="D3" s="17">
        <v>7600</v>
      </c>
    </row>
    <row r="4" spans="1:4" x14ac:dyDescent="0.3">
      <c r="A4" s="17" t="s">
        <v>100</v>
      </c>
      <c r="B4" s="17" t="s">
        <v>86</v>
      </c>
      <c r="C4" s="18">
        <v>46031</v>
      </c>
      <c r="D4" s="17">
        <v>8400</v>
      </c>
    </row>
    <row r="5" spans="1:4" x14ac:dyDescent="0.3">
      <c r="A5" s="17" t="s">
        <v>101</v>
      </c>
      <c r="B5" s="17" t="s">
        <v>88</v>
      </c>
      <c r="C5" s="18">
        <v>46031</v>
      </c>
      <c r="D5" s="17">
        <v>6400</v>
      </c>
    </row>
    <row r="6" spans="1:4" x14ac:dyDescent="0.3">
      <c r="A6" s="17" t="s">
        <v>102</v>
      </c>
      <c r="B6" s="17" t="s">
        <v>90</v>
      </c>
      <c r="C6" s="18">
        <v>46030</v>
      </c>
      <c r="D6" s="17">
        <v>7600</v>
      </c>
    </row>
    <row r="7" spans="1:4" x14ac:dyDescent="0.3">
      <c r="A7" s="17" t="s">
        <v>103</v>
      </c>
      <c r="B7" s="17" t="s">
        <v>92</v>
      </c>
      <c r="C7" s="18">
        <v>46031</v>
      </c>
      <c r="D7" s="17">
        <v>7600</v>
      </c>
    </row>
    <row r="8" spans="1:4" x14ac:dyDescent="0.3">
      <c r="A8" s="17" t="s">
        <v>155</v>
      </c>
      <c r="B8" s="17" t="s">
        <v>105</v>
      </c>
      <c r="C8" s="18">
        <v>46061</v>
      </c>
      <c r="D8" s="17">
        <v>6800</v>
      </c>
    </row>
    <row r="9" spans="1:4" x14ac:dyDescent="0.3">
      <c r="A9" s="17" t="s">
        <v>156</v>
      </c>
      <c r="B9" s="17" t="s">
        <v>107</v>
      </c>
      <c r="C9" s="18">
        <v>46062</v>
      </c>
      <c r="D9" s="17">
        <v>5600</v>
      </c>
    </row>
    <row r="10" spans="1:4" x14ac:dyDescent="0.3">
      <c r="A10" s="17" t="s">
        <v>157</v>
      </c>
      <c r="B10" s="17" t="s">
        <v>108</v>
      </c>
      <c r="C10" s="18">
        <v>46061</v>
      </c>
      <c r="D10" s="17">
        <v>8400</v>
      </c>
    </row>
    <row r="11" spans="1:4" x14ac:dyDescent="0.3">
      <c r="A11" s="17" t="s">
        <v>158</v>
      </c>
      <c r="B11" s="17" t="s">
        <v>110</v>
      </c>
      <c r="C11" s="18">
        <v>46062</v>
      </c>
      <c r="D11" s="17">
        <v>6400</v>
      </c>
    </row>
    <row r="12" spans="1:4" x14ac:dyDescent="0.3">
      <c r="A12" s="17" t="s">
        <v>159</v>
      </c>
      <c r="B12" s="17" t="s">
        <v>112</v>
      </c>
      <c r="C12" s="18">
        <v>46061</v>
      </c>
      <c r="D12" s="17">
        <v>7600</v>
      </c>
    </row>
    <row r="13" spans="1:4" x14ac:dyDescent="0.3">
      <c r="A13" s="17" t="s">
        <v>160</v>
      </c>
      <c r="B13" s="17" t="s">
        <v>114</v>
      </c>
      <c r="C13" s="18">
        <v>46062</v>
      </c>
      <c r="D13" s="17">
        <v>7600</v>
      </c>
    </row>
    <row r="14" spans="1:4" x14ac:dyDescent="0.3">
      <c r="A14" s="17" t="s">
        <v>161</v>
      </c>
      <c r="B14" s="17" t="s">
        <v>116</v>
      </c>
      <c r="C14" s="18">
        <v>46090</v>
      </c>
      <c r="D14" s="17">
        <v>7000</v>
      </c>
    </row>
    <row r="15" spans="1:4" x14ac:dyDescent="0.3">
      <c r="A15" s="17" t="s">
        <v>162</v>
      </c>
      <c r="B15" s="17" t="s">
        <v>118</v>
      </c>
      <c r="C15" s="18">
        <v>46089</v>
      </c>
      <c r="D15" s="17">
        <v>8400</v>
      </c>
    </row>
    <row r="16" spans="1:4" x14ac:dyDescent="0.3">
      <c r="A16" s="17" t="s">
        <v>163</v>
      </c>
      <c r="B16" s="17" t="s">
        <v>120</v>
      </c>
      <c r="C16" s="18">
        <v>46090</v>
      </c>
      <c r="D16" s="17">
        <v>6400</v>
      </c>
    </row>
    <row r="17" spans="1:4" x14ac:dyDescent="0.3">
      <c r="A17" s="17" t="s">
        <v>164</v>
      </c>
      <c r="B17" s="17" t="s">
        <v>122</v>
      </c>
      <c r="C17" s="18">
        <v>46089</v>
      </c>
      <c r="D17" s="17">
        <v>7600</v>
      </c>
    </row>
    <row r="18" spans="1:4" x14ac:dyDescent="0.3">
      <c r="A18" s="17" t="s">
        <v>165</v>
      </c>
      <c r="B18" s="17" t="s">
        <v>124</v>
      </c>
      <c r="C18" s="18">
        <v>46090</v>
      </c>
      <c r="D18" s="17">
        <v>7600</v>
      </c>
    </row>
    <row r="19" spans="1:4" x14ac:dyDescent="0.3">
      <c r="A19" s="17" t="s">
        <v>166</v>
      </c>
      <c r="B19" s="17" t="s">
        <v>125</v>
      </c>
      <c r="C19" s="18">
        <v>46121</v>
      </c>
      <c r="D19" s="17">
        <v>7200</v>
      </c>
    </row>
    <row r="20" spans="1:4" x14ac:dyDescent="0.3">
      <c r="A20" s="17" t="s">
        <v>167</v>
      </c>
      <c r="B20" s="17" t="s">
        <v>127</v>
      </c>
      <c r="C20" s="18">
        <v>46120</v>
      </c>
      <c r="D20" s="17">
        <v>5600</v>
      </c>
    </row>
    <row r="21" spans="1:4" x14ac:dyDescent="0.3">
      <c r="A21" s="17" t="s">
        <v>168</v>
      </c>
      <c r="B21" s="17" t="s">
        <v>129</v>
      </c>
      <c r="C21" s="18">
        <v>46121</v>
      </c>
      <c r="D21" s="17">
        <v>6400</v>
      </c>
    </row>
    <row r="22" spans="1:4" x14ac:dyDescent="0.3">
      <c r="A22" s="17" t="s">
        <v>169</v>
      </c>
      <c r="B22" s="17" t="s">
        <v>131</v>
      </c>
      <c r="C22" s="18">
        <v>46120</v>
      </c>
      <c r="D22" s="17">
        <v>7600</v>
      </c>
    </row>
    <row r="23" spans="1:4" x14ac:dyDescent="0.3">
      <c r="A23" s="17" t="s">
        <v>170</v>
      </c>
      <c r="B23" s="17" t="s">
        <v>133</v>
      </c>
      <c r="C23" s="18">
        <v>46121</v>
      </c>
      <c r="D23" s="17">
        <v>7600</v>
      </c>
    </row>
    <row r="24" spans="1:4" x14ac:dyDescent="0.3">
      <c r="A24" s="17" t="s">
        <v>171</v>
      </c>
      <c r="B24" s="17" t="s">
        <v>135</v>
      </c>
      <c r="C24" s="18">
        <v>46151</v>
      </c>
      <c r="D24" s="17">
        <v>7200</v>
      </c>
    </row>
    <row r="25" spans="1:4" x14ac:dyDescent="0.3">
      <c r="A25" s="17" t="s">
        <v>172</v>
      </c>
      <c r="B25" s="17" t="s">
        <v>137</v>
      </c>
      <c r="C25" s="18">
        <v>46150</v>
      </c>
      <c r="D25" s="17">
        <v>5600</v>
      </c>
    </row>
    <row r="26" spans="1:4" x14ac:dyDescent="0.3">
      <c r="A26" s="17" t="s">
        <v>173</v>
      </c>
      <c r="B26" s="17" t="s">
        <v>138</v>
      </c>
      <c r="C26" s="18">
        <v>46151</v>
      </c>
      <c r="D26" s="17">
        <v>8400</v>
      </c>
    </row>
    <row r="27" spans="1:4" x14ac:dyDescent="0.3">
      <c r="A27" s="17" t="s">
        <v>174</v>
      </c>
      <c r="B27" s="17" t="s">
        <v>140</v>
      </c>
      <c r="C27" s="18">
        <v>46150</v>
      </c>
      <c r="D27" s="17">
        <v>6400</v>
      </c>
    </row>
    <row r="28" spans="1:4" x14ac:dyDescent="0.3">
      <c r="A28" s="17" t="s">
        <v>175</v>
      </c>
      <c r="B28" s="17" t="s">
        <v>142</v>
      </c>
      <c r="C28" s="18">
        <v>46151</v>
      </c>
      <c r="D28" s="17">
        <v>7600</v>
      </c>
    </row>
    <row r="29" spans="1:4" x14ac:dyDescent="0.3">
      <c r="A29" s="17" t="s">
        <v>176</v>
      </c>
      <c r="B29" s="17" t="s">
        <v>144</v>
      </c>
      <c r="C29" s="18">
        <v>46150</v>
      </c>
      <c r="D29" s="17">
        <v>7600</v>
      </c>
    </row>
    <row r="30" spans="1:4" x14ac:dyDescent="0.3">
      <c r="A30" s="17" t="s">
        <v>177</v>
      </c>
      <c r="B30" s="17" t="s">
        <v>146</v>
      </c>
      <c r="C30" s="18">
        <v>46182</v>
      </c>
      <c r="D30" s="17">
        <v>7600</v>
      </c>
    </row>
    <row r="31" spans="1:4" x14ac:dyDescent="0.3">
      <c r="A31" s="17" t="s">
        <v>178</v>
      </c>
      <c r="B31" s="17" t="s">
        <v>148</v>
      </c>
      <c r="C31" s="18">
        <v>46181</v>
      </c>
      <c r="D31" s="17">
        <v>8400</v>
      </c>
    </row>
    <row r="32" spans="1:4" x14ac:dyDescent="0.3">
      <c r="A32" s="17" t="s">
        <v>179</v>
      </c>
      <c r="B32" s="17" t="s">
        <v>150</v>
      </c>
      <c r="C32" s="18">
        <v>46182</v>
      </c>
      <c r="D32" s="17">
        <v>6400</v>
      </c>
    </row>
    <row r="33" spans="1:4" x14ac:dyDescent="0.3">
      <c r="A33" s="17" t="s">
        <v>180</v>
      </c>
      <c r="B33" s="17" t="s">
        <v>152</v>
      </c>
      <c r="C33" s="18">
        <v>46181</v>
      </c>
      <c r="D33" s="17">
        <v>7600</v>
      </c>
    </row>
    <row r="34" spans="1:4" x14ac:dyDescent="0.3">
      <c r="A34" s="17" t="s">
        <v>181</v>
      </c>
      <c r="B34" s="17" t="s">
        <v>154</v>
      </c>
      <c r="C34" s="18">
        <v>46182</v>
      </c>
      <c r="D34" s="17">
        <v>7600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8FA3-7A73-453B-A01B-1F08079B9E14}">
  <dimension ref="A1"/>
  <sheetViews>
    <sheetView workbookViewId="0">
      <selection activeCell="I20" sqref="I20"/>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AF19EAE-5415-412F-A2AC-777E4D005540}">
  <ds:schemaRefs/>
</ds:datastoreItem>
</file>

<file path=customXml/itemProps2.xml><?xml version="1.0" encoding="utf-8"?>
<ds:datastoreItem xmlns:ds="http://schemas.openxmlformats.org/officeDocument/2006/customXml" ds:itemID="{23416D9C-7D14-4153-9A12-9616706DBEE4}">
  <ds:schemaRefs/>
</ds:datastoreItem>
</file>

<file path=customXml/itemProps3.xml><?xml version="1.0" encoding="utf-8"?>
<ds:datastoreItem xmlns:ds="http://schemas.openxmlformats.org/officeDocument/2006/customXml" ds:itemID="{E5F43ABA-BBAC-4425-A65D-EEE6182A297C}">
  <ds:schemaRefs/>
</ds:datastoreItem>
</file>

<file path=customXml/itemProps4.xml><?xml version="1.0" encoding="utf-8"?>
<ds:datastoreItem xmlns:ds="http://schemas.openxmlformats.org/officeDocument/2006/customXml" ds:itemID="{911B7435-8C11-4905-9FD0-F596A76BF43D}">
  <ds:schemaRefs/>
</ds:datastoreItem>
</file>

<file path=customXml/itemProps5.xml><?xml version="1.0" encoding="utf-8"?>
<ds:datastoreItem xmlns:ds="http://schemas.openxmlformats.org/officeDocument/2006/customXml" ds:itemID="{D76B1DFB-3269-4D58-BB00-DFE9798E7040}">
  <ds:schemaRefs/>
</ds:datastoreItem>
</file>

<file path=customXml/itemProps6.xml><?xml version="1.0" encoding="utf-8"?>
<ds:datastoreItem xmlns:ds="http://schemas.openxmlformats.org/officeDocument/2006/customXml" ds:itemID="{2EE97A05-1184-4D31-B8B7-DC28300D0323}">
  <ds:schemaRefs>
    <ds:schemaRef ds:uri="http://schemas.microsoft.com/DataMashup"/>
  </ds:schemaRefs>
</ds:datastoreItem>
</file>

<file path=customXml/itemProps7.xml><?xml version="1.0" encoding="utf-8"?>
<ds:datastoreItem xmlns:ds="http://schemas.openxmlformats.org/officeDocument/2006/customXml" ds:itemID="{DF11E897-75BA-4344-9562-12C4C0A0DDCC}">
  <ds:schemaRefs/>
</ds:datastoreItem>
</file>

<file path=customXml/itemProps8.xml><?xml version="1.0" encoding="utf-8"?>
<ds:datastoreItem xmlns:ds="http://schemas.openxmlformats.org/officeDocument/2006/customXml" ds:itemID="{4CC29807-FDE3-42AA-9128-6FD0579F78A0}">
  <ds:schemaRefs/>
</ds:datastoreItem>
</file>

<file path=customXml/itemProps9.xml><?xml version="1.0" encoding="utf-8"?>
<ds:datastoreItem xmlns:ds="http://schemas.openxmlformats.org/officeDocument/2006/customXml" ds:itemID="{D6FB6A25-6F73-42D8-B797-233F84E1652F}">
  <ds:schemaRefs/>
</ds:datastoreItem>
</file>

<file path=customXml/itemProps10.xml><?xml version="1.0" encoding="utf-8"?>
<ds:datastoreItem xmlns:ds="http://schemas.openxmlformats.org/officeDocument/2006/customXml" ds:itemID="{3E4B3AE0-B438-4AB7-8064-E6E13131349C}">
  <ds:schemaRefs/>
</ds:datastoreItem>
</file>

<file path=customXml/itemProps11.xml><?xml version="1.0" encoding="utf-8"?>
<ds:datastoreItem xmlns:ds="http://schemas.openxmlformats.org/officeDocument/2006/customXml" ds:itemID="{8E1B4614-945B-4D6C-829E-EBEFB753861E}">
  <ds:schemaRefs/>
</ds:datastoreItem>
</file>

<file path=customXml/itemProps12.xml><?xml version="1.0" encoding="utf-8"?>
<ds:datastoreItem xmlns:ds="http://schemas.openxmlformats.org/officeDocument/2006/customXml" ds:itemID="{F0ABF58E-87C7-45FE-AF52-E90B3372DFEB}">
  <ds:schemaRefs/>
</ds:datastoreItem>
</file>

<file path=customXml/itemProps13.xml><?xml version="1.0" encoding="utf-8"?>
<ds:datastoreItem xmlns:ds="http://schemas.openxmlformats.org/officeDocument/2006/customXml" ds:itemID="{3D5C99DC-AFBD-4424-88AF-719216140EDF}">
  <ds:schemaRefs/>
</ds:datastoreItem>
</file>

<file path=customXml/itemProps14.xml><?xml version="1.0" encoding="utf-8"?>
<ds:datastoreItem xmlns:ds="http://schemas.openxmlformats.org/officeDocument/2006/customXml" ds:itemID="{FF9D60CB-3E62-499D-9DCE-D37CA7F0E0DB}">
  <ds:schemaRefs/>
</ds:datastoreItem>
</file>

<file path=customXml/itemProps15.xml><?xml version="1.0" encoding="utf-8"?>
<ds:datastoreItem xmlns:ds="http://schemas.openxmlformats.org/officeDocument/2006/customXml" ds:itemID="{664DE58B-D886-4FFC-83CC-231A7AAAD6F8}">
  <ds:schemaRefs/>
</ds:datastoreItem>
</file>

<file path=customXml/itemProps16.xml><?xml version="1.0" encoding="utf-8"?>
<ds:datastoreItem xmlns:ds="http://schemas.openxmlformats.org/officeDocument/2006/customXml" ds:itemID="{850B0D3A-CAE1-4656-9D67-57AD4A8EB83B}">
  <ds:schemaRefs/>
</ds:datastoreItem>
</file>

<file path=customXml/itemProps17.xml><?xml version="1.0" encoding="utf-8"?>
<ds:datastoreItem xmlns:ds="http://schemas.openxmlformats.org/officeDocument/2006/customXml" ds:itemID="{8CF6163B-7B13-4332-BB08-581C1F0186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Providers_Master</vt:lpstr>
      <vt:lpstr>Sites_Master</vt:lpstr>
      <vt:lpstr>Meter_Readings</vt:lpstr>
      <vt:lpstr>Pivot_Report</vt:lpstr>
      <vt:lpstr>Electricity_Bills</vt:lpstr>
      <vt:lpstr>Lists</vt:lpstr>
      <vt:lpstr>Payments</vt:lpstr>
      <vt:lpstr>Billing_Discrepancies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Yadav</dc:creator>
  <cp:lastModifiedBy>ADITYA YADAV</cp:lastModifiedBy>
  <dcterms:created xsi:type="dcterms:W3CDTF">2015-06-05T18:17:20Z</dcterms:created>
  <dcterms:modified xsi:type="dcterms:W3CDTF">2026-06-04T06:57:30Z</dcterms:modified>
</cp:coreProperties>
</file>